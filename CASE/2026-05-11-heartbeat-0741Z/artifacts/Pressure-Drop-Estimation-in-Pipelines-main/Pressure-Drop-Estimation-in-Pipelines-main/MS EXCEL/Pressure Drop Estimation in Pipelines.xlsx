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C\Documents\my linke proj\"/>
    </mc:Choice>
  </mc:AlternateContent>
  <xr:revisionPtr revIDLastSave="0" documentId="13_ncr:1_{E322309F-C76C-4AA0-BBE2-372B4DB87644}" xr6:coauthVersionLast="47" xr6:coauthVersionMax="47" xr10:uidLastSave="{00000000-0000-0000-0000-000000000000}"/>
  <bookViews>
    <workbookView xWindow="-120" yWindow="-120" windowWidth="20730" windowHeight="11160" xr2:uid="{F1A65518-6FBB-49F1-B30B-4817D23CB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E20" i="1" s="1"/>
  <c r="H19" i="1" l="1"/>
  <c r="H21" i="1" s="1"/>
  <c r="L19" i="1" s="1"/>
  <c r="L23" i="1"/>
  <c r="G28" i="1" l="1"/>
</calcChain>
</file>

<file path=xl/sharedStrings.xml><?xml version="1.0" encoding="utf-8"?>
<sst xmlns="http://schemas.openxmlformats.org/spreadsheetml/2006/main" count="72" uniqueCount="68">
  <si>
    <t>Pressure Drop Estimation in Pipelines</t>
  </si>
  <si>
    <t>USER INPUT</t>
  </si>
  <si>
    <t>Parameter</t>
  </si>
  <si>
    <t>Symbols</t>
  </si>
  <si>
    <t>Value</t>
  </si>
  <si>
    <t>Units</t>
  </si>
  <si>
    <t>Fluid Density</t>
  </si>
  <si>
    <t>Dynamic Viscosity</t>
  </si>
  <si>
    <t>Pipe Diameter</t>
  </si>
  <si>
    <t>Pipe Length</t>
  </si>
  <si>
    <t>Flow Rate</t>
  </si>
  <si>
    <t>Pipe Roughness</t>
  </si>
  <si>
    <t>Q</t>
  </si>
  <si>
    <t>μ</t>
  </si>
  <si>
    <t>ρ</t>
  </si>
  <si>
    <t>L</t>
  </si>
  <si>
    <t>D</t>
  </si>
  <si>
    <t>ε</t>
  </si>
  <si>
    <t>K-values</t>
  </si>
  <si>
    <t>m</t>
  </si>
  <si>
    <r>
      <t>m</t>
    </r>
    <r>
      <rPr>
        <vertAlign val="super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</t>
    </r>
  </si>
  <si>
    <r>
      <t>kg/m</t>
    </r>
    <r>
      <rPr>
        <vertAlign val="superscript"/>
        <sz val="11"/>
        <color theme="1"/>
        <rFont val="Arial"/>
        <family val="2"/>
      </rPr>
      <t>3</t>
    </r>
  </si>
  <si>
    <t>-</t>
  </si>
  <si>
    <t>K</t>
  </si>
  <si>
    <t>REFERENCE</t>
  </si>
  <si>
    <t>Pipe Roughness (ε) Values</t>
  </si>
  <si>
    <t>Material</t>
  </si>
  <si>
    <t>ε (m)</t>
  </si>
  <si>
    <t>Notes</t>
  </si>
  <si>
    <t>PVC</t>
  </si>
  <si>
    <t>Copper</t>
  </si>
  <si>
    <t>Stainless Steel</t>
  </si>
  <si>
    <t>Commercial Steel</t>
  </si>
  <si>
    <t>Concrete</t>
  </si>
  <si>
    <t>Smooth</t>
  </si>
  <si>
    <t>Very smooth</t>
  </si>
  <si>
    <t>Standard engineering value</t>
  </si>
  <si>
    <t>Used widely in industries</t>
  </si>
  <si>
    <t>Very rough</t>
  </si>
  <si>
    <t>Minor Losses (K-values)</t>
  </si>
  <si>
    <t>Component</t>
  </si>
  <si>
    <t>K-value</t>
  </si>
  <si>
    <t>Meaning</t>
  </si>
  <si>
    <t>90° Bend</t>
  </si>
  <si>
    <t>Gate Valve (open)</t>
  </si>
  <si>
    <t>Sudden Expansion</t>
  </si>
  <si>
    <t>Entrance</t>
  </si>
  <si>
    <t>Change in direction</t>
  </si>
  <si>
    <t>Small loss</t>
  </si>
  <si>
    <t>High loss</t>
  </si>
  <si>
    <t>Sharp-edged entry</t>
  </si>
  <si>
    <t>Determine Flow Regime</t>
  </si>
  <si>
    <r>
      <t>m</t>
    </r>
    <r>
      <rPr>
        <vertAlign val="superscript"/>
        <sz val="11"/>
        <color theme="1"/>
        <rFont val="Arial"/>
        <family val="2"/>
      </rPr>
      <t>2</t>
    </r>
  </si>
  <si>
    <t>m/s</t>
  </si>
  <si>
    <t>Area(A)</t>
  </si>
  <si>
    <t>Velocity (v)</t>
  </si>
  <si>
    <t>Reynolds Number (Re)</t>
  </si>
  <si>
    <t>Friction Factor(f)</t>
  </si>
  <si>
    <t>Darcy–Weisbach Equation</t>
  </si>
  <si>
    <t>Minor Losses</t>
  </si>
  <si>
    <t>Total Pressure Drop</t>
  </si>
  <si>
    <t>Pa.s</t>
  </si>
  <si>
    <t>Pressure drop is calculated using the Darcy-Weisbach equation, with friction factors derived from f=64/Re for laminar flow and the explicit Swamee-Jain approximation for turbulent flow to enable direct, non-iterative computation.</t>
  </si>
  <si>
    <t xml:space="preserve">Created by Kavinraja Chakravarthy </t>
  </si>
  <si>
    <t>pa</t>
  </si>
  <si>
    <r>
      <t>Δp</t>
    </r>
    <r>
      <rPr>
        <vertAlign val="subscript"/>
        <sz val="11"/>
        <color theme="1"/>
        <rFont val="Arial"/>
        <family val="2"/>
      </rPr>
      <t>friction</t>
    </r>
  </si>
  <si>
    <r>
      <t>Δp</t>
    </r>
    <r>
      <rPr>
        <vertAlign val="subscript"/>
        <sz val="11"/>
        <color theme="1"/>
        <rFont val="Arial"/>
        <family val="2"/>
      </rPr>
      <t>minor</t>
    </r>
  </si>
  <si>
    <r>
      <t>Δp</t>
    </r>
    <r>
      <rPr>
        <vertAlign val="subscript"/>
        <sz val="11"/>
        <color theme="1"/>
        <rFont val="Arial"/>
        <family val="2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</si>
</sst>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26"/>
      <color theme="1"/>
      <name val="Arial Black"/>
      <family val="2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4"/>
      <color theme="1"/>
      <name val="Times New Roman"/>
      <family val="1"/>
    </font>
    <font>
      <sz val="11"/>
      <color rgb="FF0A0A0A"/>
      <name val="Arial"/>
      <family val="2"/>
    </font>
    <font>
      <vertAlign val="subscript"/>
      <sz val="11"/>
      <color theme="1"/>
      <name val="Arial"/>
      <family val="2"/>
    </font>
    <font>
      <sz val="18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2" fillId="0" borderId="0" xfId="0" applyFont="1"/>
    <xf numFmtId="0" fontId="6" fillId="7" borderId="1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2" fillId="6" borderId="1" xfId="0" applyFont="1" applyFill="1" applyBorder="1"/>
    <xf numFmtId="11" fontId="2" fillId="6" borderId="1" xfId="0" applyNumberFormat="1" applyFont="1" applyFill="1" applyBorder="1"/>
    <xf numFmtId="0" fontId="2" fillId="6" borderId="10" xfId="0" applyFont="1" applyFill="1" applyBorder="1"/>
    <xf numFmtId="0" fontId="2" fillId="6" borderId="9" xfId="0" applyFont="1" applyFill="1" applyBorder="1"/>
    <xf numFmtId="11" fontId="2" fillId="6" borderId="9" xfId="0" applyNumberFormat="1" applyFont="1" applyFill="1" applyBorder="1"/>
    <xf numFmtId="0" fontId="2" fillId="0" borderId="7" xfId="0" applyFont="1" applyBorder="1"/>
    <xf numFmtId="0" fontId="2" fillId="0" borderId="9" xfId="0" applyFont="1" applyBorder="1"/>
    <xf numFmtId="0" fontId="2" fillId="0" borderId="8" xfId="0" applyFont="1" applyBorder="1"/>
    <xf numFmtId="0" fontId="7" fillId="3" borderId="1" xfId="0" applyFont="1" applyFill="1" applyBorder="1"/>
    <xf numFmtId="0" fontId="7" fillId="3" borderId="10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4" fillId="7" borderId="11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8" fillId="11" borderId="13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9" fillId="12" borderId="22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9" fillId="12" borderId="7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4" fillId="9" borderId="11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8" borderId="2" xfId="0" applyFont="1" applyFill="1" applyBorder="1"/>
    <xf numFmtId="0" fontId="2" fillId="10" borderId="3" xfId="0" applyFont="1" applyFill="1" applyBorder="1"/>
    <xf numFmtId="0" fontId="2" fillId="8" borderId="3" xfId="0" applyFont="1" applyFill="1" applyBorder="1"/>
    <xf numFmtId="0" fontId="2" fillId="8" borderId="14" xfId="0" applyFont="1" applyFill="1" applyBorder="1"/>
    <xf numFmtId="0" fontId="2" fillId="10" borderId="15" xfId="0" applyFont="1" applyFill="1" applyBorder="1"/>
    <xf numFmtId="0" fontId="2" fillId="8" borderId="16" xfId="0" applyFont="1" applyFill="1" applyBorder="1"/>
    <xf numFmtId="0" fontId="2" fillId="8" borderId="1" xfId="0" applyFont="1" applyFill="1" applyBorder="1"/>
    <xf numFmtId="0" fontId="2" fillId="10" borderId="1" xfId="0" applyFont="1" applyFill="1" applyBorder="1"/>
    <xf numFmtId="0" fontId="2" fillId="8" borderId="10" xfId="0" applyFont="1" applyFill="1" applyBorder="1"/>
    <xf numFmtId="0" fontId="2" fillId="8" borderId="6" xfId="0" applyFont="1" applyFill="1" applyBorder="1"/>
    <xf numFmtId="0" fontId="2" fillId="10" borderId="7" xfId="0" applyFont="1" applyFill="1" applyBorder="1"/>
    <xf numFmtId="0" fontId="2" fillId="8" borderId="7" xfId="0" applyFont="1" applyFill="1" applyBorder="1"/>
    <xf numFmtId="0" fontId="2" fillId="0" borderId="17" xfId="0" applyFont="1" applyBorder="1"/>
    <xf numFmtId="0" fontId="2" fillId="0" borderId="13" xfId="0" applyFont="1" applyBorder="1"/>
    <xf numFmtId="0" fontId="2" fillId="0" borderId="18" xfId="0" applyFont="1" applyBorder="1"/>
    <xf numFmtId="0" fontId="2" fillId="0" borderId="6" xfId="0" applyFont="1" applyBorder="1"/>
    <xf numFmtId="0" fontId="2" fillId="8" borderId="19" xfId="0" applyFont="1" applyFill="1" applyBorder="1"/>
    <xf numFmtId="0" fontId="2" fillId="10" borderId="20" xfId="0" applyFont="1" applyFill="1" applyBorder="1"/>
    <xf numFmtId="0" fontId="2" fillId="8" borderId="21" xfId="0" applyFont="1" applyFill="1" applyBorder="1"/>
    <xf numFmtId="0" fontId="12" fillId="0" borderId="0" xfId="0" applyFont="1" applyAlignment="1">
      <alignment wrapText="1"/>
    </xf>
    <xf numFmtId="1" fontId="2" fillId="1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5348-51C4-4B8F-8AD1-146F1731AD0E}">
  <dimension ref="A2:Q39"/>
  <sheetViews>
    <sheetView tabSelected="1" workbookViewId="0">
      <selection activeCell="I23" sqref="I23"/>
    </sheetView>
  </sheetViews>
  <sheetFormatPr defaultRowHeight="15" x14ac:dyDescent="0.25"/>
  <cols>
    <col min="2" max="2" width="19.140625" customWidth="1"/>
    <col min="3" max="3" width="10.42578125" customWidth="1"/>
    <col min="7" max="7" width="22.140625" customWidth="1"/>
    <col min="8" max="8" width="9.42578125" bestFit="1" customWidth="1"/>
    <col min="9" max="9" width="26" customWidth="1"/>
    <col min="10" max="10" width="7.7109375" customWidth="1"/>
    <col min="11" max="11" width="19.28515625" customWidth="1"/>
    <col min="12" max="12" width="9.28515625" bestFit="1" customWidth="1"/>
    <col min="13" max="13" width="18.28515625" customWidth="1"/>
  </cols>
  <sheetData>
    <row r="2" spans="2:14" ht="41.25" x14ac:dyDescent="0.8">
      <c r="D2" s="28" t="s">
        <v>0</v>
      </c>
      <c r="E2" s="28"/>
      <c r="F2" s="28"/>
      <c r="G2" s="28"/>
      <c r="H2" s="28"/>
      <c r="I2" s="28"/>
      <c r="J2" s="28"/>
      <c r="K2" s="28"/>
      <c r="L2" s="28"/>
      <c r="M2" s="28"/>
      <c r="N2" s="28"/>
    </row>
    <row r="5" spans="2:14" ht="15.75" thickBot="1" x14ac:dyDescent="0.3"/>
    <row r="6" spans="2:14" ht="21" thickBot="1" x14ac:dyDescent="0.35">
      <c r="B6" s="19" t="s">
        <v>1</v>
      </c>
      <c r="C6" s="20"/>
      <c r="D6" s="20"/>
      <c r="E6" s="21"/>
      <c r="F6" s="4"/>
      <c r="G6" s="22" t="s">
        <v>24</v>
      </c>
      <c r="H6" s="23"/>
      <c r="I6" s="23"/>
      <c r="J6" s="23"/>
      <c r="K6" s="23"/>
      <c r="L6" s="23"/>
      <c r="M6" s="24"/>
    </row>
    <row r="7" spans="2:14" ht="18.75" thickBot="1" x14ac:dyDescent="0.3">
      <c r="B7" s="15" t="s">
        <v>2</v>
      </c>
      <c r="C7" s="15" t="s">
        <v>3</v>
      </c>
      <c r="D7" s="15" t="s">
        <v>4</v>
      </c>
      <c r="E7" s="16" t="s">
        <v>5</v>
      </c>
      <c r="F7" s="4"/>
      <c r="G7" s="25" t="s">
        <v>25</v>
      </c>
      <c r="H7" s="26"/>
      <c r="I7" s="27"/>
      <c r="J7" s="4"/>
      <c r="K7" s="25" t="s">
        <v>39</v>
      </c>
      <c r="L7" s="26"/>
      <c r="M7" s="27"/>
    </row>
    <row r="8" spans="2:14" ht="18" thickBot="1" x14ac:dyDescent="0.3">
      <c r="B8" s="17" t="s">
        <v>6</v>
      </c>
      <c r="C8" s="17" t="s">
        <v>14</v>
      </c>
      <c r="D8" s="18"/>
      <c r="E8" s="3" t="s">
        <v>21</v>
      </c>
      <c r="F8" s="4"/>
      <c r="G8" s="5" t="s">
        <v>26</v>
      </c>
      <c r="H8" s="5" t="s">
        <v>27</v>
      </c>
      <c r="I8" s="5" t="s">
        <v>28</v>
      </c>
      <c r="J8" s="4"/>
      <c r="K8" s="5" t="s">
        <v>40</v>
      </c>
      <c r="L8" s="5" t="s">
        <v>41</v>
      </c>
      <c r="M8" s="6" t="s">
        <v>42</v>
      </c>
    </row>
    <row r="9" spans="2:14" ht="15.75" thickBot="1" x14ac:dyDescent="0.3">
      <c r="B9" s="17" t="s">
        <v>7</v>
      </c>
      <c r="C9" s="17" t="s">
        <v>13</v>
      </c>
      <c r="D9" s="37"/>
      <c r="E9" s="3" t="s">
        <v>61</v>
      </c>
      <c r="F9" s="4"/>
      <c r="G9" s="7" t="s">
        <v>29</v>
      </c>
      <c r="H9" s="8">
        <v>1.5E-6</v>
      </c>
      <c r="I9" s="7" t="s">
        <v>34</v>
      </c>
      <c r="J9" s="4"/>
      <c r="K9" s="7" t="s">
        <v>43</v>
      </c>
      <c r="L9" s="7">
        <v>0.75</v>
      </c>
      <c r="M9" s="9" t="s">
        <v>47</v>
      </c>
    </row>
    <row r="10" spans="2:14" ht="15.75" thickBot="1" x14ac:dyDescent="0.3">
      <c r="B10" s="17" t="s">
        <v>8</v>
      </c>
      <c r="C10" s="17" t="s">
        <v>16</v>
      </c>
      <c r="D10" s="18"/>
      <c r="E10" s="3" t="s">
        <v>19</v>
      </c>
      <c r="F10" s="4"/>
      <c r="G10" s="7" t="s">
        <v>30</v>
      </c>
      <c r="H10" s="8">
        <v>1.5E-6</v>
      </c>
      <c r="I10" s="7" t="s">
        <v>35</v>
      </c>
      <c r="J10" s="4"/>
      <c r="K10" s="7" t="s">
        <v>44</v>
      </c>
      <c r="L10" s="7">
        <v>0.15</v>
      </c>
      <c r="M10" s="9" t="s">
        <v>48</v>
      </c>
    </row>
    <row r="11" spans="2:14" ht="15.75" thickBot="1" x14ac:dyDescent="0.3">
      <c r="B11" s="17" t="s">
        <v>9</v>
      </c>
      <c r="C11" s="17" t="s">
        <v>15</v>
      </c>
      <c r="D11" s="18"/>
      <c r="E11" s="3" t="s">
        <v>19</v>
      </c>
      <c r="F11" s="4"/>
      <c r="G11" s="7" t="s">
        <v>31</v>
      </c>
      <c r="H11" s="8">
        <v>4.5000000000000003E-5</v>
      </c>
      <c r="I11" s="7" t="s">
        <v>36</v>
      </c>
      <c r="J11" s="4"/>
      <c r="K11" s="7" t="s">
        <v>45</v>
      </c>
      <c r="L11" s="7">
        <v>1</v>
      </c>
      <c r="M11" s="9" t="s">
        <v>49</v>
      </c>
    </row>
    <row r="12" spans="2:14" ht="18" thickBot="1" x14ac:dyDescent="0.3">
      <c r="B12" s="17" t="s">
        <v>10</v>
      </c>
      <c r="C12" s="17" t="s">
        <v>12</v>
      </c>
      <c r="D12" s="18"/>
      <c r="E12" s="3" t="s">
        <v>20</v>
      </c>
      <c r="F12" s="4"/>
      <c r="G12" s="7" t="s">
        <v>32</v>
      </c>
      <c r="H12" s="8">
        <v>4.5000000000000003E-5</v>
      </c>
      <c r="I12" s="7" t="s">
        <v>37</v>
      </c>
      <c r="J12" s="4"/>
      <c r="K12" s="7" t="s">
        <v>46</v>
      </c>
      <c r="L12" s="7">
        <v>0.5</v>
      </c>
      <c r="M12" s="9" t="s">
        <v>50</v>
      </c>
    </row>
    <row r="13" spans="2:14" ht="15.75" thickBot="1" x14ac:dyDescent="0.3">
      <c r="B13" s="17" t="s">
        <v>11</v>
      </c>
      <c r="C13" s="17" t="s">
        <v>17</v>
      </c>
      <c r="D13" s="18"/>
      <c r="E13" s="3" t="s">
        <v>19</v>
      </c>
      <c r="F13" s="4"/>
      <c r="G13" s="10" t="s">
        <v>33</v>
      </c>
      <c r="H13" s="11">
        <v>3.0000000000000001E-3</v>
      </c>
      <c r="I13" s="10" t="s">
        <v>38</v>
      </c>
      <c r="J13" s="12"/>
      <c r="K13" s="13"/>
      <c r="L13" s="13"/>
      <c r="M13" s="14"/>
    </row>
    <row r="14" spans="2:14" ht="15.75" thickBot="1" x14ac:dyDescent="0.3">
      <c r="B14" s="2" t="s">
        <v>18</v>
      </c>
      <c r="C14" s="2" t="s">
        <v>23</v>
      </c>
      <c r="D14" s="13"/>
      <c r="E14" s="1" t="s">
        <v>22</v>
      </c>
      <c r="F14" s="4"/>
      <c r="G14" s="4"/>
      <c r="H14" s="4"/>
      <c r="I14" s="4"/>
      <c r="J14" s="4"/>
      <c r="K14" s="4"/>
      <c r="L14" s="4"/>
      <c r="M14" s="4"/>
    </row>
    <row r="15" spans="2:14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2:14" ht="15.75" thickBot="1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7" ht="21" thickBot="1" x14ac:dyDescent="0.35">
      <c r="B17" s="4"/>
      <c r="C17" s="4"/>
      <c r="D17" s="38" t="s">
        <v>51</v>
      </c>
      <c r="E17" s="39"/>
      <c r="F17" s="39"/>
      <c r="G17" s="39"/>
      <c r="H17" s="39"/>
      <c r="I17" s="40"/>
      <c r="J17" s="4"/>
      <c r="K17" s="41" t="s">
        <v>58</v>
      </c>
      <c r="L17" s="42"/>
      <c r="M17" s="43"/>
    </row>
    <row r="18" spans="1:17" ht="15.75" thickBot="1" x14ac:dyDescent="0.3">
      <c r="B18" s="4"/>
      <c r="C18" s="4"/>
      <c r="D18" s="44"/>
      <c r="E18" s="4"/>
      <c r="F18" s="4"/>
      <c r="G18" s="4"/>
      <c r="H18" s="4"/>
      <c r="I18" s="45"/>
      <c r="J18" s="4"/>
      <c r="K18" s="44"/>
      <c r="L18" s="4"/>
      <c r="M18" s="45"/>
    </row>
    <row r="19" spans="1:17" ht="19.5" thickBot="1" x14ac:dyDescent="0.4">
      <c r="B19" s="4"/>
      <c r="C19" s="4"/>
      <c r="D19" s="46" t="s">
        <v>54</v>
      </c>
      <c r="E19" s="47">
        <f>(3.14*D10^2)/4</f>
        <v>0</v>
      </c>
      <c r="F19" s="48" t="s">
        <v>52</v>
      </c>
      <c r="G19" s="49" t="s">
        <v>56</v>
      </c>
      <c r="H19" s="50" t="e">
        <f>(D8*E20*D10)/D9</f>
        <v>#DIV/0!</v>
      </c>
      <c r="I19" s="51"/>
      <c r="J19" s="4"/>
      <c r="K19" s="52" t="s">
        <v>65</v>
      </c>
      <c r="L19" s="53" t="e">
        <f>H21*(D11/D10)*((D8*E20^2)/2)</f>
        <v>#DIV/0!</v>
      </c>
      <c r="M19" s="54" t="s">
        <v>64</v>
      </c>
    </row>
    <row r="20" spans="1:17" ht="15.75" thickBot="1" x14ac:dyDescent="0.3">
      <c r="B20" s="4"/>
      <c r="C20" s="4"/>
      <c r="D20" s="55" t="s">
        <v>55</v>
      </c>
      <c r="E20" s="56" t="e">
        <f>D12/E19</f>
        <v>#DIV/0!</v>
      </c>
      <c r="F20" s="57" t="s">
        <v>53</v>
      </c>
      <c r="G20" s="58"/>
      <c r="H20" s="59"/>
      <c r="I20" s="60"/>
      <c r="J20" s="4"/>
      <c r="K20" s="44"/>
      <c r="L20" s="4"/>
      <c r="M20" s="45"/>
    </row>
    <row r="21" spans="1:17" ht="15.75" thickBot="1" x14ac:dyDescent="0.3">
      <c r="B21" s="4"/>
      <c r="C21" s="4"/>
      <c r="D21" s="61"/>
      <c r="E21" s="12"/>
      <c r="F21" s="12"/>
      <c r="G21" s="62" t="s">
        <v>57</v>
      </c>
      <c r="H21" s="63" t="e">
        <f>IF(H19&lt;2300, 64/H19, IF(H19&gt;4000, 0.25 / (LOG10((D13/(3.7*D10)) + (5.74/(H19^0.9))))^2, "Transitional"))</f>
        <v>#DIV/0!</v>
      </c>
      <c r="I21" s="64"/>
      <c r="J21" s="4"/>
      <c r="K21" s="41" t="s">
        <v>59</v>
      </c>
      <c r="L21" s="42"/>
      <c r="M21" s="43"/>
    </row>
    <row r="22" spans="1:17" ht="15.75" thickBot="1" x14ac:dyDescent="0.3">
      <c r="B22" s="4"/>
      <c r="C22" s="4"/>
      <c r="D22" s="4"/>
      <c r="E22" s="4"/>
      <c r="F22" s="4"/>
      <c r="G22" s="4"/>
      <c r="H22" s="4"/>
      <c r="I22" s="4"/>
      <c r="J22" s="4"/>
      <c r="K22" s="44"/>
      <c r="L22" s="4"/>
      <c r="M22" s="45"/>
    </row>
    <row r="23" spans="1:17" ht="19.5" thickBot="1" x14ac:dyDescent="0.4">
      <c r="B23" s="4"/>
      <c r="C23" s="4"/>
      <c r="D23" s="4"/>
      <c r="E23" s="4"/>
      <c r="F23" s="4"/>
      <c r="G23" s="4"/>
      <c r="H23" s="4"/>
      <c r="I23" s="4"/>
      <c r="J23" s="4"/>
      <c r="K23" s="52" t="s">
        <v>66</v>
      </c>
      <c r="L23" s="53" t="e">
        <f>D14*((D8*E20^2)/2)</f>
        <v>#DIV/0!</v>
      </c>
      <c r="M23" s="54" t="s">
        <v>64</v>
      </c>
    </row>
    <row r="24" spans="1:17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7" ht="15.75" customHeight="1" thickBot="1" x14ac:dyDescent="0.4">
      <c r="B25" s="4"/>
      <c r="C25" s="4"/>
      <c r="D25" s="4"/>
      <c r="E25" s="4"/>
      <c r="F25" s="4"/>
      <c r="G25" s="4"/>
      <c r="H25" s="4"/>
      <c r="I25" s="4"/>
      <c r="J25" s="4"/>
      <c r="K25" s="65"/>
      <c r="L25" s="65"/>
      <c r="M25" s="65"/>
    </row>
    <row r="26" spans="1:17" ht="15.75" customHeight="1" thickBot="1" x14ac:dyDescent="0.4">
      <c r="B26" s="4"/>
      <c r="C26" s="4"/>
      <c r="D26" s="4"/>
      <c r="E26" s="4"/>
      <c r="F26" s="41" t="s">
        <v>60</v>
      </c>
      <c r="G26" s="42"/>
      <c r="H26" s="43"/>
      <c r="I26" s="4"/>
      <c r="J26" s="65"/>
      <c r="K26" s="65"/>
      <c r="L26" s="65"/>
      <c r="M26" s="65"/>
    </row>
    <row r="27" spans="1:17" ht="15.75" customHeight="1" thickBot="1" x14ac:dyDescent="0.3">
      <c r="B27" s="4"/>
      <c r="C27" s="4"/>
      <c r="D27" s="4"/>
      <c r="E27" s="4"/>
      <c r="F27" s="44"/>
      <c r="G27" s="4"/>
      <c r="H27" s="45"/>
      <c r="I27" s="4"/>
      <c r="J27" s="4"/>
      <c r="K27" s="4"/>
      <c r="L27" s="4"/>
      <c r="M27" s="4"/>
    </row>
    <row r="28" spans="1:17" ht="18.75" customHeight="1" thickBot="1" x14ac:dyDescent="0.4">
      <c r="B28" s="4"/>
      <c r="C28" s="4"/>
      <c r="D28" s="4"/>
      <c r="E28" s="4"/>
      <c r="F28" s="52" t="s">
        <v>67</v>
      </c>
      <c r="G28" s="66" t="e">
        <f>L19+L23</f>
        <v>#DIV/0!</v>
      </c>
      <c r="H28" s="54" t="s">
        <v>64</v>
      </c>
      <c r="I28" s="4"/>
      <c r="J28" s="4"/>
      <c r="K28" s="4"/>
      <c r="L28" s="4"/>
      <c r="M28" s="4"/>
    </row>
    <row r="29" spans="1:17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2" spans="1:17" ht="15" customHeight="1" x14ac:dyDescent="0.25">
      <c r="A32" s="30" t="s">
        <v>62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1:17" ht="15.75" customHeight="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1:17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1:17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7" spans="1:17" ht="15.75" thickBot="1" x14ac:dyDescent="0.3"/>
    <row r="38" spans="1:17" x14ac:dyDescent="0.25">
      <c r="F38" s="31" t="s">
        <v>63</v>
      </c>
      <c r="G38" s="32"/>
      <c r="H38" s="32"/>
      <c r="I38" s="33"/>
      <c r="J38" s="29"/>
    </row>
    <row r="39" spans="1:17" ht="15.75" thickBot="1" x14ac:dyDescent="0.3">
      <c r="F39" s="34"/>
      <c r="G39" s="35"/>
      <c r="H39" s="35"/>
      <c r="I39" s="36"/>
    </row>
  </sheetData>
  <mergeCells count="11">
    <mergeCell ref="D2:N2"/>
    <mergeCell ref="A32:Q35"/>
    <mergeCell ref="F38:I39"/>
    <mergeCell ref="K21:M21"/>
    <mergeCell ref="F26:H26"/>
    <mergeCell ref="B6:E6"/>
    <mergeCell ref="G6:M6"/>
    <mergeCell ref="G7:I7"/>
    <mergeCell ref="K7:M7"/>
    <mergeCell ref="D17:I17"/>
    <mergeCell ref="K17:M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kavinraja chakravarthy E</dc:creator>
  <cp:lastModifiedBy>kavinraja chakravarthy E</cp:lastModifiedBy>
  <dcterms:created xsi:type="dcterms:W3CDTF">2025-12-12T05:37:39Z</dcterms:created>
  <dcterms:modified xsi:type="dcterms:W3CDTF">2025-12-14T12:35:20Z</dcterms:modified>
</cp:coreProperties>
</file>