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i unidad\UCE Drive\Docencia\2025 2025\Tesis\Brandon\Supplementary Material\CALCULOS\Calculos de la Tesis\"/>
    </mc:Choice>
  </mc:AlternateContent>
  <xr:revisionPtr revIDLastSave="0" documentId="13_ncr:1_{45A6FCAF-D516-4809-8F38-95DFD41A166C}" xr6:coauthVersionLast="47" xr6:coauthVersionMax="47" xr10:uidLastSave="{00000000-0000-0000-0000-000000000000}"/>
  <bookViews>
    <workbookView xWindow="-110" yWindow="-110" windowWidth="19420" windowHeight="10300" firstSheet="3" activeTab="7" xr2:uid="{4076CF5C-4FD2-4AB2-A51A-CB7F840E42CA}"/>
  </bookViews>
  <sheets>
    <sheet name="Composición" sheetId="3" r:id="rId1"/>
    <sheet name="Destilación" sheetId="9" r:id="rId2"/>
    <sheet name="Mezcla de bloques" sheetId="6" r:id="rId3"/>
    <sheet name="Análisis Elemental" sheetId="7" r:id="rId4"/>
    <sheet name="Reacciones" sheetId="15" r:id="rId5"/>
    <sheet name="Componentes" sheetId="14" r:id="rId6"/>
    <sheet name="Flujos" sheetId="16" r:id="rId7"/>
    <sheet name="Eficiencias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4" l="1"/>
  <c r="P19" i="14"/>
  <c r="Q3" i="14"/>
  <c r="K23" i="14"/>
  <c r="K21" i="14"/>
  <c r="K22" i="14" s="1"/>
  <c r="E27" i="16"/>
  <c r="E19" i="16"/>
  <c r="E20" i="16"/>
  <c r="E21" i="16"/>
  <c r="E22" i="16"/>
  <c r="E23" i="16"/>
  <c r="E24" i="16"/>
  <c r="E25" i="16"/>
  <c r="E26" i="16"/>
  <c r="E18" i="16"/>
  <c r="E17" i="16"/>
  <c r="L3" i="16"/>
  <c r="L4" i="16"/>
  <c r="L5" i="16"/>
  <c r="L6" i="16"/>
  <c r="L7" i="16"/>
  <c r="L8" i="16"/>
  <c r="L9" i="16"/>
  <c r="L10" i="16"/>
  <c r="L11" i="16"/>
  <c r="L12" i="16"/>
  <c r="L13" i="16"/>
  <c r="L2" i="16"/>
  <c r="F4" i="16"/>
  <c r="F5" i="16"/>
  <c r="F6" i="16"/>
  <c r="F7" i="16"/>
  <c r="F8" i="16"/>
  <c r="F9" i="16"/>
  <c r="F10" i="16"/>
  <c r="F11" i="16"/>
  <c r="F3" i="16"/>
  <c r="J18" i="14"/>
  <c r="P29" i="14"/>
  <c r="Q18" i="14"/>
  <c r="S18" i="14"/>
  <c r="O12" i="14"/>
  <c r="O14" i="14" s="1"/>
  <c r="P13" i="14"/>
  <c r="Q11" i="14"/>
  <c r="Q10" i="14"/>
  <c r="Q9" i="14"/>
  <c r="Q8" i="14"/>
  <c r="Q7" i="14"/>
  <c r="Q6" i="14"/>
  <c r="Q5" i="14"/>
  <c r="H5" i="15"/>
  <c r="H6" i="15"/>
  <c r="H7" i="15"/>
  <c r="H8" i="15"/>
  <c r="H9" i="15"/>
  <c r="H10" i="15"/>
  <c r="H11" i="15"/>
  <c r="H12" i="15"/>
  <c r="H4" i="15"/>
  <c r="Q12" i="14" l="1"/>
  <c r="P14" i="14" s="1"/>
  <c r="Q14" i="14" l="1"/>
  <c r="E15" i="7"/>
  <c r="M14" i="6" l="1"/>
  <c r="Q14" i="9"/>
  <c r="D24" i="7" l="1"/>
  <c r="D25" i="7" s="1"/>
  <c r="V6" i="9"/>
  <c r="V7" i="9" s="1"/>
  <c r="N10" i="9"/>
  <c r="Q7" i="9" s="1"/>
  <c r="G13" i="9"/>
  <c r="H14" i="9" s="1"/>
  <c r="F50" i="3" l="1"/>
  <c r="F46" i="3"/>
  <c r="F47" i="3"/>
  <c r="F51" i="3"/>
  <c r="F54" i="3"/>
  <c r="F49" i="3"/>
  <c r="F53" i="3"/>
  <c r="F52" i="3"/>
  <c r="F48" i="3"/>
  <c r="H47" i="3"/>
  <c r="H46" i="3"/>
  <c r="J48" i="3"/>
  <c r="E32" i="3"/>
  <c r="J47" i="3"/>
  <c r="J49" i="3"/>
  <c r="J50" i="3"/>
  <c r="J51" i="3"/>
  <c r="J52" i="3"/>
  <c r="J53" i="3"/>
  <c r="J54" i="3"/>
  <c r="J46" i="3"/>
  <c r="D32" i="3"/>
  <c r="G32" i="3"/>
  <c r="H48" i="3"/>
  <c r="H49" i="3"/>
  <c r="H50" i="3"/>
  <c r="H51" i="3"/>
  <c r="H52" i="3"/>
  <c r="H53" i="3"/>
  <c r="H54" i="3"/>
  <c r="G30" i="3" l="1"/>
  <c r="L56" i="3"/>
  <c r="M56" i="3" s="1"/>
  <c r="N46" i="3"/>
  <c r="O47" i="3" s="1"/>
  <c r="O48" i="3" s="1"/>
  <c r="O49" i="3" s="1"/>
  <c r="D60" i="3" l="1"/>
  <c r="C60" i="3"/>
  <c r="B60" i="3"/>
  <c r="M60" i="3"/>
  <c r="L57" i="3"/>
  <c r="G28" i="3"/>
  <c r="G63" i="3" s="1"/>
  <c r="C29" i="3"/>
  <c r="C28" i="3"/>
  <c r="L58" i="3" l="1"/>
  <c r="M58" i="3"/>
  <c r="M59" i="3" s="1"/>
  <c r="G11" i="9" l="1"/>
  <c r="G10" i="9"/>
  <c r="F7" i="9"/>
  <c r="F6" i="9"/>
  <c r="E20" i="7"/>
  <c r="D20" i="7"/>
  <c r="H11" i="9" l="1"/>
  <c r="Q6" i="9"/>
  <c r="F20" i="7"/>
  <c r="F21" i="7" s="1"/>
  <c r="F10" i="9"/>
  <c r="J7" i="9" s="1"/>
  <c r="J6" i="9"/>
  <c r="U41" i="3"/>
  <c r="V41" i="3"/>
  <c r="W41" i="3"/>
  <c r="T41" i="3"/>
  <c r="E18" i="7"/>
  <c r="E17" i="7"/>
  <c r="E16" i="7"/>
  <c r="F16" i="7" s="1"/>
  <c r="R7" i="9" l="1"/>
  <c r="O7" i="9"/>
  <c r="P7" i="9" s="1"/>
  <c r="H7" i="9"/>
  <c r="I7" i="9" s="1"/>
  <c r="I11" i="9" s="1"/>
  <c r="C40" i="3"/>
  <c r="C75" i="3" s="1"/>
  <c r="D40" i="3"/>
  <c r="D75" i="3" s="1"/>
  <c r="E40" i="3"/>
  <c r="E75" i="3" s="1"/>
  <c r="F40" i="3"/>
  <c r="F75" i="3" s="1"/>
  <c r="G40" i="3"/>
  <c r="G75" i="3" s="1"/>
  <c r="H40" i="3"/>
  <c r="H75" i="3" s="1"/>
  <c r="I40" i="3"/>
  <c r="I75" i="3" s="1"/>
  <c r="J40" i="3"/>
  <c r="J75" i="3" s="1"/>
  <c r="K40" i="3"/>
  <c r="K75" i="3" s="1"/>
  <c r="C64" i="3" l="1"/>
  <c r="D29" i="3"/>
  <c r="D64" i="3" s="1"/>
  <c r="E29" i="3"/>
  <c r="E64" i="3" s="1"/>
  <c r="F29" i="3"/>
  <c r="F64" i="3" s="1"/>
  <c r="G29" i="3"/>
  <c r="G64" i="3" s="1"/>
  <c r="H29" i="3"/>
  <c r="H64" i="3" s="1"/>
  <c r="I29" i="3"/>
  <c r="I64" i="3" s="1"/>
  <c r="J29" i="3"/>
  <c r="J64" i="3" s="1"/>
  <c r="K29" i="3"/>
  <c r="K64" i="3" s="1"/>
  <c r="C30" i="3"/>
  <c r="C65" i="3" s="1"/>
  <c r="D30" i="3"/>
  <c r="D65" i="3" s="1"/>
  <c r="E30" i="3"/>
  <c r="E65" i="3" s="1"/>
  <c r="F30" i="3"/>
  <c r="F65" i="3" s="1"/>
  <c r="G65" i="3"/>
  <c r="H30" i="3"/>
  <c r="H65" i="3" s="1"/>
  <c r="I30" i="3"/>
  <c r="I65" i="3" s="1"/>
  <c r="J30" i="3"/>
  <c r="J65" i="3" s="1"/>
  <c r="K30" i="3"/>
  <c r="K65" i="3" s="1"/>
  <c r="C31" i="3"/>
  <c r="C66" i="3" s="1"/>
  <c r="D31" i="3"/>
  <c r="D66" i="3" s="1"/>
  <c r="E31" i="3"/>
  <c r="E66" i="3" s="1"/>
  <c r="F31" i="3"/>
  <c r="F66" i="3" s="1"/>
  <c r="G31" i="3"/>
  <c r="G66" i="3" s="1"/>
  <c r="H31" i="3"/>
  <c r="H66" i="3" s="1"/>
  <c r="I31" i="3"/>
  <c r="I66" i="3" s="1"/>
  <c r="J31" i="3"/>
  <c r="J66" i="3" s="1"/>
  <c r="K31" i="3"/>
  <c r="K66" i="3" s="1"/>
  <c r="C32" i="3"/>
  <c r="C67" i="3" s="1"/>
  <c r="D67" i="3"/>
  <c r="E67" i="3"/>
  <c r="F32" i="3"/>
  <c r="F67" i="3" s="1"/>
  <c r="G67" i="3"/>
  <c r="H32" i="3"/>
  <c r="H67" i="3" s="1"/>
  <c r="I32" i="3"/>
  <c r="I67" i="3" s="1"/>
  <c r="J32" i="3"/>
  <c r="J67" i="3" s="1"/>
  <c r="K32" i="3"/>
  <c r="K67" i="3" s="1"/>
  <c r="C33" i="3"/>
  <c r="C68" i="3" s="1"/>
  <c r="D33" i="3"/>
  <c r="D68" i="3" s="1"/>
  <c r="E33" i="3"/>
  <c r="E68" i="3" s="1"/>
  <c r="F33" i="3"/>
  <c r="F68" i="3" s="1"/>
  <c r="G33" i="3"/>
  <c r="G68" i="3" s="1"/>
  <c r="H33" i="3"/>
  <c r="H68" i="3" s="1"/>
  <c r="I33" i="3"/>
  <c r="I68" i="3" s="1"/>
  <c r="J33" i="3"/>
  <c r="J68" i="3" s="1"/>
  <c r="K33" i="3"/>
  <c r="K68" i="3" s="1"/>
  <c r="C34" i="3"/>
  <c r="C69" i="3" s="1"/>
  <c r="D34" i="3"/>
  <c r="D69" i="3" s="1"/>
  <c r="E34" i="3"/>
  <c r="E69" i="3" s="1"/>
  <c r="F34" i="3"/>
  <c r="F69" i="3" s="1"/>
  <c r="G34" i="3"/>
  <c r="G69" i="3" s="1"/>
  <c r="H34" i="3"/>
  <c r="H69" i="3" s="1"/>
  <c r="I34" i="3"/>
  <c r="I69" i="3" s="1"/>
  <c r="J34" i="3"/>
  <c r="J69" i="3" s="1"/>
  <c r="K34" i="3"/>
  <c r="K69" i="3" s="1"/>
  <c r="C35" i="3"/>
  <c r="C70" i="3" s="1"/>
  <c r="D35" i="3"/>
  <c r="D70" i="3" s="1"/>
  <c r="E35" i="3"/>
  <c r="E70" i="3" s="1"/>
  <c r="F35" i="3"/>
  <c r="F70" i="3" s="1"/>
  <c r="G35" i="3"/>
  <c r="G70" i="3" s="1"/>
  <c r="H35" i="3"/>
  <c r="H70" i="3" s="1"/>
  <c r="I35" i="3"/>
  <c r="I70" i="3" s="1"/>
  <c r="J35" i="3"/>
  <c r="J70" i="3" s="1"/>
  <c r="K35" i="3"/>
  <c r="K70" i="3" s="1"/>
  <c r="C36" i="3"/>
  <c r="C71" i="3" s="1"/>
  <c r="D36" i="3"/>
  <c r="D71" i="3" s="1"/>
  <c r="E36" i="3"/>
  <c r="E71" i="3" s="1"/>
  <c r="F36" i="3"/>
  <c r="F71" i="3" s="1"/>
  <c r="G36" i="3"/>
  <c r="G71" i="3" s="1"/>
  <c r="H36" i="3"/>
  <c r="H71" i="3" s="1"/>
  <c r="I36" i="3"/>
  <c r="I71" i="3" s="1"/>
  <c r="J36" i="3"/>
  <c r="J71" i="3" s="1"/>
  <c r="K36" i="3"/>
  <c r="K71" i="3" s="1"/>
  <c r="C37" i="3"/>
  <c r="C72" i="3" s="1"/>
  <c r="D37" i="3"/>
  <c r="D72" i="3" s="1"/>
  <c r="E37" i="3"/>
  <c r="E72" i="3" s="1"/>
  <c r="F37" i="3"/>
  <c r="F72" i="3" s="1"/>
  <c r="G37" i="3"/>
  <c r="G72" i="3" s="1"/>
  <c r="H37" i="3"/>
  <c r="H72" i="3" s="1"/>
  <c r="I37" i="3"/>
  <c r="I72" i="3" s="1"/>
  <c r="J37" i="3"/>
  <c r="J72" i="3" s="1"/>
  <c r="K37" i="3"/>
  <c r="K72" i="3" s="1"/>
  <c r="C38" i="3"/>
  <c r="C73" i="3" s="1"/>
  <c r="D38" i="3"/>
  <c r="D73" i="3" s="1"/>
  <c r="E38" i="3"/>
  <c r="E73" i="3" s="1"/>
  <c r="F38" i="3"/>
  <c r="F73" i="3" s="1"/>
  <c r="G38" i="3"/>
  <c r="G73" i="3" s="1"/>
  <c r="H38" i="3"/>
  <c r="H73" i="3" s="1"/>
  <c r="I38" i="3"/>
  <c r="I73" i="3" s="1"/>
  <c r="J38" i="3"/>
  <c r="J73" i="3" s="1"/>
  <c r="K38" i="3"/>
  <c r="K73" i="3" s="1"/>
  <c r="C39" i="3"/>
  <c r="C74" i="3" s="1"/>
  <c r="D39" i="3"/>
  <c r="D74" i="3" s="1"/>
  <c r="F39" i="3"/>
  <c r="F74" i="3" s="1"/>
  <c r="G39" i="3"/>
  <c r="G74" i="3" s="1"/>
  <c r="H39" i="3"/>
  <c r="H74" i="3" s="1"/>
  <c r="I39" i="3"/>
  <c r="I74" i="3" s="1"/>
  <c r="J39" i="3"/>
  <c r="J74" i="3" s="1"/>
  <c r="K39" i="3"/>
  <c r="K74" i="3" s="1"/>
  <c r="D28" i="3"/>
  <c r="E28" i="3"/>
  <c r="E63" i="3" s="1"/>
  <c r="F28" i="3"/>
  <c r="F63" i="3" s="1"/>
  <c r="H28" i="3"/>
  <c r="I28" i="3"/>
  <c r="I63" i="3" s="1"/>
  <c r="J28" i="3"/>
  <c r="J63" i="3" s="1"/>
  <c r="K28" i="3"/>
  <c r="K63" i="3" s="1"/>
  <c r="C25" i="3"/>
  <c r="C63" i="3"/>
  <c r="D25" i="3"/>
  <c r="F25" i="3"/>
  <c r="G25" i="3"/>
  <c r="H25" i="3"/>
  <c r="I25" i="3"/>
  <c r="J25" i="3"/>
  <c r="K25" i="3"/>
  <c r="C77" i="3" l="1"/>
  <c r="C83" i="3" s="1"/>
  <c r="C76" i="3"/>
  <c r="C78" i="3" s="1"/>
  <c r="C108" i="3" s="1"/>
  <c r="K76" i="3"/>
  <c r="K77" i="3"/>
  <c r="J77" i="3"/>
  <c r="G76" i="3"/>
  <c r="O28" i="3" s="1"/>
  <c r="G77" i="3"/>
  <c r="J76" i="3"/>
  <c r="F77" i="3"/>
  <c r="F76" i="3"/>
  <c r="I77" i="3"/>
  <c r="I76" i="3"/>
  <c r="H41" i="3"/>
  <c r="H63" i="3"/>
  <c r="D41" i="3"/>
  <c r="D63" i="3"/>
  <c r="K41" i="3"/>
  <c r="G41" i="3"/>
  <c r="J41" i="3"/>
  <c r="F41" i="3"/>
  <c r="I41" i="3"/>
  <c r="C41" i="3"/>
  <c r="E24" i="3"/>
  <c r="O33" i="3" l="1"/>
  <c r="C101" i="3"/>
  <c r="C104" i="3"/>
  <c r="D77" i="3"/>
  <c r="C99" i="3"/>
  <c r="C103" i="3"/>
  <c r="C107" i="3"/>
  <c r="C98" i="3"/>
  <c r="C105" i="3"/>
  <c r="C102" i="3"/>
  <c r="C100" i="3"/>
  <c r="C97" i="3"/>
  <c r="C106" i="3"/>
  <c r="C96" i="3"/>
  <c r="I78" i="3"/>
  <c r="D52" i="3"/>
  <c r="O31" i="3"/>
  <c r="J78" i="3"/>
  <c r="G83" i="3"/>
  <c r="K78" i="3"/>
  <c r="F78" i="3"/>
  <c r="D46" i="3"/>
  <c r="O37" i="3"/>
  <c r="O39" i="3"/>
  <c r="O32" i="3"/>
  <c r="O36" i="3"/>
  <c r="O34" i="3"/>
  <c r="G78" i="3"/>
  <c r="O40" i="3"/>
  <c r="O38" i="3"/>
  <c r="O35" i="3"/>
  <c r="Q40" i="3"/>
  <c r="C84" i="3"/>
  <c r="Q28" i="3"/>
  <c r="Q29" i="3"/>
  <c r="Q33" i="3"/>
  <c r="Q37" i="3"/>
  <c r="Q39" i="3"/>
  <c r="O30" i="3"/>
  <c r="H77" i="3"/>
  <c r="Q32" i="3"/>
  <c r="Q30" i="3"/>
  <c r="Q34" i="3"/>
  <c r="Q38" i="3"/>
  <c r="Q31" i="3"/>
  <c r="Q35" i="3"/>
  <c r="O29" i="3"/>
  <c r="Q36" i="3"/>
  <c r="D50" i="3"/>
  <c r="K83" i="3"/>
  <c r="J87" i="3"/>
  <c r="D53" i="3"/>
  <c r="K85" i="3"/>
  <c r="D54" i="3"/>
  <c r="K84" i="3"/>
  <c r="K87" i="3"/>
  <c r="J86" i="3"/>
  <c r="K86" i="3"/>
  <c r="J91" i="3"/>
  <c r="J83" i="3"/>
  <c r="J85" i="3"/>
  <c r="J84" i="3"/>
  <c r="J90" i="3"/>
  <c r="I90" i="3"/>
  <c r="K88" i="3"/>
  <c r="F88" i="3"/>
  <c r="D49" i="3"/>
  <c r="G85" i="3"/>
  <c r="J89" i="3"/>
  <c r="G90" i="3"/>
  <c r="G89" i="3"/>
  <c r="J92" i="3"/>
  <c r="K90" i="3"/>
  <c r="K89" i="3"/>
  <c r="I87" i="3"/>
  <c r="I91" i="3"/>
  <c r="I83" i="3"/>
  <c r="F84" i="3"/>
  <c r="F90" i="3"/>
  <c r="G86" i="3"/>
  <c r="G87" i="3"/>
  <c r="F86" i="3"/>
  <c r="I92" i="3"/>
  <c r="G84" i="3"/>
  <c r="G91" i="3"/>
  <c r="K92" i="3"/>
  <c r="D76" i="3"/>
  <c r="D47" i="3"/>
  <c r="C86" i="3"/>
  <c r="F91" i="3"/>
  <c r="F85" i="3"/>
  <c r="C87" i="3"/>
  <c r="J88" i="3"/>
  <c r="G92" i="3"/>
  <c r="F89" i="3"/>
  <c r="C90" i="3"/>
  <c r="C91" i="3"/>
  <c r="I84" i="3"/>
  <c r="C88" i="3"/>
  <c r="H76" i="3"/>
  <c r="C89" i="3"/>
  <c r="I88" i="3"/>
  <c r="F92" i="3"/>
  <c r="F83" i="3"/>
  <c r="I89" i="3"/>
  <c r="C85" i="3"/>
  <c r="I86" i="3"/>
  <c r="G88" i="3"/>
  <c r="C92" i="3"/>
  <c r="I85" i="3"/>
  <c r="F87" i="3"/>
  <c r="K91" i="3"/>
  <c r="E25" i="3"/>
  <c r="E39" i="3"/>
  <c r="F108" i="3" l="1"/>
  <c r="F100" i="3"/>
  <c r="F106" i="3"/>
  <c r="F102" i="3"/>
  <c r="F105" i="3"/>
  <c r="F98" i="3"/>
  <c r="F96" i="3"/>
  <c r="F101" i="3"/>
  <c r="F103" i="3"/>
  <c r="F97" i="3"/>
  <c r="F104" i="3"/>
  <c r="F99" i="3"/>
  <c r="F107" i="3"/>
  <c r="G96" i="3"/>
  <c r="G108" i="3"/>
  <c r="G103" i="3"/>
  <c r="G102" i="3"/>
  <c r="G107" i="3"/>
  <c r="G98" i="3"/>
  <c r="G105" i="3"/>
  <c r="G99" i="3"/>
  <c r="G101" i="3"/>
  <c r="G104" i="3"/>
  <c r="G106" i="3"/>
  <c r="G97" i="3"/>
  <c r="G100" i="3"/>
  <c r="K108" i="3"/>
  <c r="K107" i="3"/>
  <c r="K98" i="3"/>
  <c r="K96" i="3"/>
  <c r="K105" i="3"/>
  <c r="K99" i="3"/>
  <c r="K101" i="3"/>
  <c r="K103" i="3"/>
  <c r="K104" i="3"/>
  <c r="K106" i="3"/>
  <c r="K97" i="3"/>
  <c r="K100" i="3"/>
  <c r="K102" i="3"/>
  <c r="C109" i="3"/>
  <c r="I108" i="3"/>
  <c r="I100" i="3"/>
  <c r="I98" i="3"/>
  <c r="I96" i="3"/>
  <c r="I106" i="3"/>
  <c r="I105" i="3"/>
  <c r="I101" i="3"/>
  <c r="I97" i="3"/>
  <c r="I103" i="3"/>
  <c r="I99" i="3"/>
  <c r="I102" i="3"/>
  <c r="I104" i="3"/>
  <c r="I107" i="3"/>
  <c r="J108" i="3"/>
  <c r="J98" i="3"/>
  <c r="J104" i="3"/>
  <c r="J101" i="3"/>
  <c r="J97" i="3"/>
  <c r="J105" i="3"/>
  <c r="J103" i="3"/>
  <c r="J96" i="3"/>
  <c r="J99" i="3"/>
  <c r="J107" i="3"/>
  <c r="J100" i="3"/>
  <c r="J102" i="3"/>
  <c r="J106" i="3"/>
  <c r="H78" i="3"/>
  <c r="D51" i="3"/>
  <c r="D78" i="3"/>
  <c r="O41" i="3"/>
  <c r="P28" i="3"/>
  <c r="P40" i="3"/>
  <c r="P31" i="3"/>
  <c r="P38" i="3"/>
  <c r="P30" i="3"/>
  <c r="P33" i="3"/>
  <c r="P36" i="3"/>
  <c r="P32" i="3"/>
  <c r="P34" i="3"/>
  <c r="P37" i="3"/>
  <c r="P29" i="3"/>
  <c r="P39" i="3"/>
  <c r="P35" i="3"/>
  <c r="Q41" i="3"/>
  <c r="J93" i="3"/>
  <c r="H83" i="3"/>
  <c r="K93" i="3"/>
  <c r="I93" i="3"/>
  <c r="C93" i="3"/>
  <c r="H92" i="3"/>
  <c r="H86" i="3"/>
  <c r="H84" i="3"/>
  <c r="H85" i="3"/>
  <c r="H91" i="3"/>
  <c r="H88" i="3"/>
  <c r="H87" i="3"/>
  <c r="H90" i="3"/>
  <c r="H89" i="3"/>
  <c r="D87" i="3"/>
  <c r="D90" i="3"/>
  <c r="D89" i="3"/>
  <c r="D86" i="3"/>
  <c r="D84" i="3"/>
  <c r="D85" i="3"/>
  <c r="D92" i="3"/>
  <c r="D91" i="3"/>
  <c r="D88" i="3"/>
  <c r="F93" i="3"/>
  <c r="G93" i="3"/>
  <c r="D83" i="3"/>
  <c r="E41" i="3"/>
  <c r="E74" i="3"/>
  <c r="H108" i="3" l="1"/>
  <c r="H107" i="3"/>
  <c r="H98" i="3"/>
  <c r="H100" i="3"/>
  <c r="H103" i="3"/>
  <c r="H106" i="3"/>
  <c r="H102" i="3"/>
  <c r="H105" i="3"/>
  <c r="H99" i="3"/>
  <c r="H101" i="3"/>
  <c r="H104" i="3"/>
  <c r="H97" i="3"/>
  <c r="H96" i="3"/>
  <c r="F109" i="3"/>
  <c r="K109" i="3"/>
  <c r="I109" i="3"/>
  <c r="D108" i="3"/>
  <c r="D97" i="3"/>
  <c r="D107" i="3"/>
  <c r="D104" i="3"/>
  <c r="D98" i="3"/>
  <c r="D100" i="3"/>
  <c r="D103" i="3"/>
  <c r="D106" i="3"/>
  <c r="D105" i="3"/>
  <c r="D102" i="3"/>
  <c r="D99" i="3"/>
  <c r="D101" i="3"/>
  <c r="D96" i="3"/>
  <c r="J109" i="3"/>
  <c r="G109" i="3"/>
  <c r="P41" i="3"/>
  <c r="E77" i="3"/>
  <c r="H93" i="3"/>
  <c r="D93" i="3"/>
  <c r="E76" i="3"/>
  <c r="D109" i="3" l="1"/>
  <c r="H109" i="3"/>
  <c r="E78" i="3"/>
  <c r="N28" i="3"/>
  <c r="N29" i="3"/>
  <c r="D48" i="3"/>
  <c r="D55" i="3" s="1"/>
  <c r="N40" i="3"/>
  <c r="N37" i="3"/>
  <c r="N33" i="3"/>
  <c r="N36" i="3"/>
  <c r="N32" i="3"/>
  <c r="N38" i="3"/>
  <c r="N30" i="3"/>
  <c r="N35" i="3"/>
  <c r="N31" i="3"/>
  <c r="N34" i="3"/>
  <c r="N39" i="3"/>
  <c r="E83" i="3"/>
  <c r="E91" i="3"/>
  <c r="E90" i="3"/>
  <c r="E85" i="3"/>
  <c r="E87" i="3"/>
  <c r="E86" i="3"/>
  <c r="E89" i="3"/>
  <c r="E88" i="3"/>
  <c r="E84" i="3"/>
  <c r="E92" i="3"/>
  <c r="E108" i="3" l="1"/>
  <c r="E104" i="3"/>
  <c r="E103" i="3"/>
  <c r="E98" i="3"/>
  <c r="E102" i="3"/>
  <c r="E100" i="3"/>
  <c r="E105" i="3"/>
  <c r="E96" i="3"/>
  <c r="E106" i="3"/>
  <c r="E97" i="3"/>
  <c r="E99" i="3"/>
  <c r="E101" i="3"/>
  <c r="E107" i="3"/>
  <c r="N41" i="3"/>
  <c r="E93" i="3"/>
  <c r="E109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<sst xmlns="http://schemas.openxmlformats.org/spreadsheetml/2006/main" count="459" uniqueCount="152">
  <si>
    <t>UNIVERSIDAD CENTRAL DEL ECUADOR</t>
  </si>
  <si>
    <t>FACULTAD DE INGENIERÍA QUÍMICA</t>
  </si>
  <si>
    <t>CARRERA DE INGENIERÍA QUÍIMICA</t>
  </si>
  <si>
    <t>BLOQUE 18</t>
  </si>
  <si>
    <t>BLOQUE 12</t>
  </si>
  <si>
    <t>BLOQUE 43</t>
  </si>
  <si>
    <t>BLOQUE 56</t>
  </si>
  <si>
    <t>BLOQUE 60</t>
  </si>
  <si>
    <t>BLOQUE 61</t>
  </si>
  <si>
    <t>BLOQUE  07</t>
  </si>
  <si>
    <t>BLOQUE 15</t>
  </si>
  <si>
    <t>BLOQUE 57</t>
  </si>
  <si>
    <t>Nitrógeno</t>
  </si>
  <si>
    <t>Metano</t>
  </si>
  <si>
    <t>Dioxido de Carbono</t>
  </si>
  <si>
    <t>Etano</t>
  </si>
  <si>
    <t>Agua</t>
  </si>
  <si>
    <t>Propano</t>
  </si>
  <si>
    <t>i- butano</t>
  </si>
  <si>
    <t>n-butano</t>
  </si>
  <si>
    <t>i-pentano</t>
  </si>
  <si>
    <t>n-pentano</t>
  </si>
  <si>
    <t>Hexano+</t>
  </si>
  <si>
    <t>Heptano+</t>
  </si>
  <si>
    <t>SUMA</t>
  </si>
  <si>
    <t>ITT</t>
  </si>
  <si>
    <t>Sacha</t>
  </si>
  <si>
    <t>Auca</t>
  </si>
  <si>
    <t>Shushufindi</t>
  </si>
  <si>
    <t>29.71</t>
  </si>
  <si>
    <t>29.73</t>
  </si>
  <si>
    <t>Orellana</t>
  </si>
  <si>
    <t xml:space="preserve">Orellana </t>
  </si>
  <si>
    <t>Shushufinfi</t>
  </si>
  <si>
    <t>Flujo Volumetrico</t>
  </si>
  <si>
    <t xml:space="preserve">H2S </t>
  </si>
  <si>
    <t>propano</t>
  </si>
  <si>
    <t>BLOQUE</t>
  </si>
  <si>
    <t xml:space="preserve">VOLUMEN </t>
  </si>
  <si>
    <t>PCI</t>
  </si>
  <si>
    <t>LHV</t>
  </si>
  <si>
    <t>CO2</t>
  </si>
  <si>
    <t>Flujo de CO2</t>
  </si>
  <si>
    <t>H2O</t>
  </si>
  <si>
    <t>Flujo de H2O</t>
  </si>
  <si>
    <t>[MSCFD]</t>
  </si>
  <si>
    <t xml:space="preserve">[MSCFD] </t>
  </si>
  <si>
    <t>(Btu/lbm)</t>
  </si>
  <si>
    <t>(Btu/day)</t>
  </si>
  <si>
    <t>[-]</t>
  </si>
  <si>
    <t xml:space="preserve"> (ft³ st/day)</t>
  </si>
  <si>
    <t>1000 (ft³ st/day)</t>
  </si>
  <si>
    <t>Volumen
[MSCFD]</t>
  </si>
  <si>
    <t>B18</t>
  </si>
  <si>
    <t>B12</t>
  </si>
  <si>
    <t>B43</t>
  </si>
  <si>
    <t>B56</t>
  </si>
  <si>
    <t>B60</t>
  </si>
  <si>
    <t>B61</t>
  </si>
  <si>
    <t>B07</t>
  </si>
  <si>
    <t>B15</t>
  </si>
  <si>
    <t>B57</t>
  </si>
  <si>
    <t>TOTAL</t>
  </si>
  <si>
    <t>Total</t>
  </si>
  <si>
    <t xml:space="preserve">Limites maximos permisibles de los contaminantes </t>
  </si>
  <si>
    <t>H2S</t>
  </si>
  <si>
    <t xml:space="preserve">Lmax </t>
  </si>
  <si>
    <t>Lmax</t>
  </si>
  <si>
    <t>T Condiciones Normales</t>
  </si>
  <si>
    <t>bloque 61</t>
  </si>
  <si>
    <t xml:space="preserve">sin contaminantes </t>
  </si>
  <si>
    <t xml:space="preserve">Sin contaminantes </t>
  </si>
  <si>
    <t>Editado</t>
  </si>
  <si>
    <t>Original</t>
  </si>
  <si>
    <t>Distillate Rate</t>
  </si>
  <si>
    <t>Draw Rate</t>
  </si>
  <si>
    <t xml:space="preserve">Reflux rate </t>
  </si>
  <si>
    <t>pequeño</t>
  </si>
  <si>
    <t>grande</t>
  </si>
  <si>
    <t>f_oxigeno=954574 [kmol/h]</t>
  </si>
  <si>
    <t>Variables in Main</t>
  </si>
  <si>
    <t>Mezcla</t>
  </si>
  <si>
    <t>Analisis de componentes CHON</t>
  </si>
  <si>
    <t>Fórmula Química</t>
  </si>
  <si>
    <t>Fracción molar</t>
  </si>
  <si>
    <t>C</t>
  </si>
  <si>
    <t>H</t>
  </si>
  <si>
    <t>O</t>
  </si>
  <si>
    <t>N</t>
  </si>
  <si>
    <t>N2</t>
  </si>
  <si>
    <t>CH4</t>
  </si>
  <si>
    <t>C2H6</t>
  </si>
  <si>
    <t>C3H8</t>
  </si>
  <si>
    <t>C4H10</t>
  </si>
  <si>
    <t>C5H12</t>
  </si>
  <si>
    <t>C6H14</t>
  </si>
  <si>
    <t>C7H16</t>
  </si>
  <si>
    <t>Balance estequiométrico de la combustión de la mezcla de gas asociado oxigeno</t>
  </si>
  <si>
    <t xml:space="preserve">Se realiza la suma de la multiplicación de la fracción molar por la cantidad de moles que
componen la fórmula química de cada componente para determinar el valor de cada coeficiente </t>
  </si>
  <si>
    <t>yi</t>
  </si>
  <si>
    <t>Carbono</t>
  </si>
  <si>
    <t>Hidrogeno</t>
  </si>
  <si>
    <t>Oxigeno</t>
  </si>
  <si>
    <t>Nitrogeno</t>
  </si>
  <si>
    <t xml:space="preserve">Componente </t>
  </si>
  <si>
    <t>Combustible [kmol/h]</t>
  </si>
  <si>
    <t>Oxígeno [kmol/h]</t>
  </si>
  <si>
    <t>Oxigeno estequiometrico</t>
  </si>
  <si>
    <t>Methane</t>
  </si>
  <si>
    <t>Componente</t>
  </si>
  <si>
    <t>Moles de entrada [kmol/h]</t>
  </si>
  <si>
    <t>Moles Reaccionan o se Producen [mol/s]</t>
  </si>
  <si>
    <t>Moles de Salida [kmol/h]</t>
  </si>
  <si>
    <t>Ethane</t>
  </si>
  <si>
    <t>Propane</t>
  </si>
  <si>
    <t>i-Butane</t>
  </si>
  <si>
    <t>n-Butane</t>
  </si>
  <si>
    <t>Dióxido de carbono</t>
  </si>
  <si>
    <t>i-Pentane</t>
  </si>
  <si>
    <t>n-Pentane</t>
  </si>
  <si>
    <t>n-Hexane</t>
  </si>
  <si>
    <t>n-Heptane</t>
  </si>
  <si>
    <t>Oxygen</t>
  </si>
  <si>
    <t>Argon</t>
  </si>
  <si>
    <t>Combustible</t>
  </si>
  <si>
    <t>Oxígeno [mol/s]</t>
  </si>
  <si>
    <t>mol/s</t>
  </si>
  <si>
    <t>Análisis de componentes CHON</t>
  </si>
  <si>
    <t xml:space="preserve">Formula química </t>
  </si>
  <si>
    <t>fracción molar</t>
  </si>
  <si>
    <r>
      <t>N</t>
    </r>
    <r>
      <rPr>
        <vertAlign val="subscript"/>
        <sz val="12"/>
        <color rgb="FF000000"/>
        <rFont val="Times New Roman"/>
        <family val="1"/>
      </rPr>
      <t>2</t>
    </r>
  </si>
  <si>
    <r>
      <t>CH</t>
    </r>
    <r>
      <rPr>
        <vertAlign val="subscript"/>
        <sz val="12"/>
        <color rgb="FF000000"/>
        <rFont val="Times New Roman"/>
        <family val="1"/>
      </rPr>
      <t>4</t>
    </r>
  </si>
  <si>
    <r>
      <t>C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6</t>
    </r>
  </si>
  <si>
    <r>
      <t>C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8</t>
    </r>
  </si>
  <si>
    <r>
      <t>C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10</t>
    </r>
  </si>
  <si>
    <r>
      <t>C</t>
    </r>
    <r>
      <rPr>
        <vertAlign val="subscript"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12</t>
    </r>
  </si>
  <si>
    <r>
      <t>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14</t>
    </r>
  </si>
  <si>
    <r>
      <t>C</t>
    </r>
    <r>
      <rPr>
        <vertAlign val="sub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16</t>
    </r>
  </si>
  <si>
    <t>COMPONENTE</t>
  </si>
  <si>
    <t>Oxigeno estequiométrico [kmol/h]</t>
  </si>
  <si>
    <t>Nitrogen</t>
  </si>
  <si>
    <t>kmolO2 / kmolfuel</t>
  </si>
  <si>
    <t>Temperatura (°C)</t>
  </si>
  <si>
    <t>Eficiencia Energética (%)</t>
  </si>
  <si>
    <t>Eficiencia Exergética (%)</t>
  </si>
  <si>
    <t>Gas Asociado</t>
  </si>
  <si>
    <t>Hidrógeno 1300 (°C)</t>
  </si>
  <si>
    <t>Metano  1300 (°C)</t>
  </si>
  <si>
    <t>Hidrógeno 1500 (°C)</t>
  </si>
  <si>
    <t>Metano  1500 (°C)</t>
  </si>
  <si>
    <t xml:space="preserve">Metano 1300 (°C) </t>
  </si>
  <si>
    <t>Metano 1300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</si>
</sst>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0.0000000000"/>
    <numFmt numFmtId="167" formatCode="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indexed="10"/>
      <name val="Times New Roman"/>
      <family val="1"/>
    </font>
    <font>
      <b/>
      <sz val="12"/>
      <color rgb="FFFF0000"/>
      <name val="Times New Roman"/>
      <family val="1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05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3" fillId="9" borderId="1" xfId="0" applyFont="1" applyFill="1" applyBorder="1" applyAlignment="1">
      <alignment horizontal="center"/>
    </xf>
    <xf numFmtId="0" fontId="4" fillId="0" borderId="1" xfId="0" applyFont="1" applyBorder="1"/>
    <xf numFmtId="11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14" borderId="2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2" fontId="6" fillId="14" borderId="10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2" fontId="6" fillId="14" borderId="0" xfId="0" applyNumberFormat="1" applyFont="1" applyFill="1" applyAlignment="1">
      <alignment horizontal="center" vertical="center"/>
    </xf>
    <xf numFmtId="2" fontId="6" fillId="14" borderId="9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64" fontId="4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8" fontId="4" fillId="10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/>
    <xf numFmtId="164" fontId="4" fillId="10" borderId="1" xfId="0" applyNumberFormat="1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right"/>
    </xf>
    <xf numFmtId="0" fontId="4" fillId="8" borderId="0" xfId="0" applyFont="1" applyFill="1"/>
    <xf numFmtId="164" fontId="4" fillId="10" borderId="1" xfId="0" applyNumberFormat="1" applyFont="1" applyFill="1" applyBorder="1"/>
    <xf numFmtId="164" fontId="4" fillId="10" borderId="1" xfId="0" applyNumberFormat="1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0" xfId="0" applyNumberFormat="1" applyFont="1"/>
    <xf numFmtId="0" fontId="3" fillId="1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3" borderId="12" xfId="0" applyFont="1" applyFill="1" applyBorder="1"/>
    <xf numFmtId="0" fontId="4" fillId="3" borderId="6" xfId="0" applyFont="1" applyFill="1" applyBorder="1"/>
    <xf numFmtId="0" fontId="4" fillId="0" borderId="26" xfId="0" applyFont="1" applyBorder="1"/>
    <xf numFmtId="0" fontId="4" fillId="0" borderId="27" xfId="0" applyFont="1" applyBorder="1"/>
    <xf numFmtId="0" fontId="4" fillId="6" borderId="28" xfId="0" applyFont="1" applyFill="1" applyBorder="1" applyAlignment="1">
      <alignment horizontal="center"/>
    </xf>
    <xf numFmtId="0" fontId="4" fillId="0" borderId="5" xfId="0" applyFont="1" applyBorder="1"/>
    <xf numFmtId="0" fontId="4" fillId="0" borderId="14" xfId="0" applyFont="1" applyBorder="1"/>
    <xf numFmtId="0" fontId="4" fillId="0" borderId="24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25" xfId="0" applyFont="1" applyBorder="1"/>
    <xf numFmtId="0" fontId="4" fillId="0" borderId="13" xfId="0" applyFont="1" applyBorder="1"/>
    <xf numFmtId="0" fontId="4" fillId="0" borderId="8" xfId="0" applyFont="1" applyBorder="1"/>
    <xf numFmtId="0" fontId="4" fillId="13" borderId="1" xfId="0" applyFont="1" applyFill="1" applyBorder="1"/>
    <xf numFmtId="0" fontId="4" fillId="8" borderId="1" xfId="0" applyFont="1" applyFill="1" applyBorder="1"/>
    <xf numFmtId="0" fontId="4" fillId="12" borderId="1" xfId="0" applyFont="1" applyFill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1" xfId="0" applyFont="1" applyBorder="1"/>
    <xf numFmtId="0" fontId="4" fillId="0" borderId="21" xfId="0" applyFont="1" applyBorder="1"/>
    <xf numFmtId="0" fontId="4" fillId="12" borderId="22" xfId="0" applyFont="1" applyFill="1" applyBorder="1"/>
    <xf numFmtId="0" fontId="4" fillId="12" borderId="23" xfId="0" applyFont="1" applyFill="1" applyBorder="1"/>
    <xf numFmtId="167" fontId="4" fillId="0" borderId="0" xfId="0" applyNumberFormat="1" applyFont="1"/>
    <xf numFmtId="0" fontId="3" fillId="15" borderId="1" xfId="0" applyFont="1" applyFill="1" applyBorder="1" applyAlignment="1">
      <alignment horizontal="center" vertical="top"/>
    </xf>
    <xf numFmtId="11" fontId="4" fillId="0" borderId="0" xfId="0" applyNumberFormat="1" applyFont="1"/>
    <xf numFmtId="166" fontId="4" fillId="0" borderId="0" xfId="0" applyNumberFormat="1" applyFont="1"/>
    <xf numFmtId="0" fontId="4" fillId="0" borderId="1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16" borderId="1" xfId="0" applyFont="1" applyFill="1" applyBorder="1"/>
    <xf numFmtId="0" fontId="3" fillId="16" borderId="1" xfId="0" applyFont="1" applyFill="1" applyBorder="1"/>
    <xf numFmtId="0" fontId="13" fillId="12" borderId="7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horizontal="center"/>
    </xf>
    <xf numFmtId="167" fontId="6" fillId="0" borderId="0" xfId="0" applyNumberFormat="1" applyFont="1" applyAlignment="1">
      <alignment horizontal="center" vertical="center"/>
    </xf>
    <xf numFmtId="167" fontId="6" fillId="0" borderId="9" xfId="0" applyNumberFormat="1" applyFont="1" applyBorder="1" applyAlignment="1">
      <alignment horizontal="center" vertical="center"/>
    </xf>
    <xf numFmtId="0" fontId="8" fillId="19" borderId="1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4" fillId="9" borderId="0" xfId="0" applyFont="1" applyFill="1"/>
    <xf numFmtId="1" fontId="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2" fontId="15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17" borderId="12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0" fontId="8" fillId="17" borderId="29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</cellXfs>
  <cellStyles count="2">
    <cellStyle name="Normal" xfId="0" builtinId="0"/>
    <cellStyle name="Normal 2 5" xfId="1" xr:uid="{DBB64C26-D470-4A7D-A798-8D7E5AEBF40D}"/>
  </cellStyles>
  <dxfs count="0"/>
  <tableStyles count="0" defaultTableStyle="TableStyleMedium2" defaultPivotStyle="PivotStyleLight16"/>
  <colors>
    <mruColors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latin typeface="Times New Roman" panose="02020603050405020304" pitchFamily="18" charset="0"/>
                <a:cs typeface="Times New Roman" panose="02020603050405020304" pitchFamily="18" charset="0"/>
              </a:rPr>
              <a:t>Requerimientos de Oxígeno Estequiométrico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Componentes!$O$2</c:f>
              <c:strCache>
                <c:ptCount val="1"/>
                <c:pt idx="0">
                  <c:v>Combustible [kmol/h]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Componentes!$N$3:$N$11</c:f>
              <c:strCache>
                <c:ptCount val="9"/>
                <c:pt idx="0">
                  <c:v>Metano</c:v>
                </c:pt>
                <c:pt idx="1">
                  <c:v>Etano</c:v>
                </c:pt>
                <c:pt idx="2">
                  <c:v>Propano</c:v>
                </c:pt>
                <c:pt idx="3">
                  <c:v>i- butano</c:v>
                </c:pt>
                <c:pt idx="4">
                  <c:v>n-butano</c:v>
                </c:pt>
                <c:pt idx="5">
                  <c:v>i-pentano</c:v>
                </c:pt>
                <c:pt idx="6">
                  <c:v>n-pentano</c:v>
                </c:pt>
                <c:pt idx="7">
                  <c:v>Hexano+</c:v>
                </c:pt>
                <c:pt idx="8">
                  <c:v>Heptano+</c:v>
                </c:pt>
              </c:strCache>
            </c:strRef>
          </c:cat>
          <c:val>
            <c:numRef>
              <c:f>Componentes!$O$3:$O$11</c:f>
              <c:numCache>
                <c:formatCode>0</c:formatCode>
                <c:ptCount val="9"/>
                <c:pt idx="0">
                  <c:v>661.395478761851</c:v>
                </c:pt>
                <c:pt idx="1">
                  <c:v>133.69988930424401</c:v>
                </c:pt>
                <c:pt idx="2">
                  <c:v>221.922177626409</c:v>
                </c:pt>
                <c:pt idx="3">
                  <c:v>53.302238790503701</c:v>
                </c:pt>
                <c:pt idx="4">
                  <c:v>103.539107822847</c:v>
                </c:pt>
                <c:pt idx="5">
                  <c:v>37.026077551668699</c:v>
                </c:pt>
                <c:pt idx="6">
                  <c:v>19.303387534397199</c:v>
                </c:pt>
                <c:pt idx="7">
                  <c:v>5.5851957680836897</c:v>
                </c:pt>
                <c:pt idx="8">
                  <c:v>0.86010714536337596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6-4485-9E10-FD5FAC02F21A}"/>
            </c:ext>
          </c:extLst>
        </c:ser>
        <c:ser>
          <c:idx val="1"/>
          <c:order val="1"/>
          <c:tx>
            <c:strRef>
              <c:f>Componentes!$P$2</c:f>
              <c:strCache>
                <c:ptCount val="1"/>
                <c:pt idx="0">
                  <c:v>kmolO2 / kmolfuel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Componentes!$N$3:$N$11</c:f>
              <c:strCache>
                <c:ptCount val="9"/>
                <c:pt idx="0">
                  <c:v>Metano</c:v>
                </c:pt>
                <c:pt idx="1">
                  <c:v>Etano</c:v>
                </c:pt>
                <c:pt idx="2">
                  <c:v>Propano</c:v>
                </c:pt>
                <c:pt idx="3">
                  <c:v>i- butano</c:v>
                </c:pt>
                <c:pt idx="4">
                  <c:v>n-butano</c:v>
                </c:pt>
                <c:pt idx="5">
                  <c:v>i-pentano</c:v>
                </c:pt>
                <c:pt idx="6">
                  <c:v>n-pentano</c:v>
                </c:pt>
                <c:pt idx="7">
                  <c:v>Hexano+</c:v>
                </c:pt>
                <c:pt idx="8">
                  <c:v>Heptano+</c:v>
                </c:pt>
              </c:strCache>
            </c:strRef>
          </c:cat>
          <c:val>
            <c:numRef>
              <c:f>Componentes!$P$3:$P$11</c:f>
              <c:numCache>
                <c:formatCode>0</c:formatCode>
                <c:ptCount val="9"/>
                <c:pt idx="0">
                  <c:v>2</c:v>
                </c:pt>
                <c:pt idx="1">
                  <c:v>3.5</c:v>
                </c:pt>
                <c:pt idx="2">
                  <c:v>5</c:v>
                </c:pt>
                <c:pt idx="3">
                  <c:v>6.5</c:v>
                </c:pt>
                <c:pt idx="4">
                  <c:v>6.5</c:v>
                </c:pt>
                <c:pt idx="5">
                  <c:v>8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6-4485-9E10-FD5FAC02F21A}"/>
            </c:ext>
          </c:extLst>
        </c:ser>
        <c:ser>
          <c:idx val="2"/>
          <c:order val="2"/>
          <c:tx>
            <c:strRef>
              <c:f>Componentes!$Q$2</c:f>
              <c:strCache>
                <c:ptCount val="1"/>
                <c:pt idx="0">
                  <c:v>Oxigeno estequiometrico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Componentes!$N$3:$N$11</c:f>
              <c:strCache>
                <c:ptCount val="9"/>
                <c:pt idx="0">
                  <c:v>Metano</c:v>
                </c:pt>
                <c:pt idx="1">
                  <c:v>Etano</c:v>
                </c:pt>
                <c:pt idx="2">
                  <c:v>Propano</c:v>
                </c:pt>
                <c:pt idx="3">
                  <c:v>i- butano</c:v>
                </c:pt>
                <c:pt idx="4">
                  <c:v>n-butano</c:v>
                </c:pt>
                <c:pt idx="5">
                  <c:v>i-pentano</c:v>
                </c:pt>
                <c:pt idx="6">
                  <c:v>n-pentano</c:v>
                </c:pt>
                <c:pt idx="7">
                  <c:v>Hexano+</c:v>
                </c:pt>
                <c:pt idx="8">
                  <c:v>Heptano+</c:v>
                </c:pt>
              </c:strCache>
            </c:strRef>
          </c:cat>
          <c:val>
            <c:numRef>
              <c:f>Componentes!$Q$3:$Q$11</c:f>
              <c:numCache>
                <c:formatCode>0</c:formatCode>
                <c:ptCount val="9"/>
                <c:pt idx="0">
                  <c:v>1322.790957523702</c:v>
                </c:pt>
                <c:pt idx="1">
                  <c:v>467.94961256485402</c:v>
                </c:pt>
                <c:pt idx="2">
                  <c:v>1109.6108881320449</c:v>
                </c:pt>
                <c:pt idx="3">
                  <c:v>346.46455213827403</c:v>
                </c:pt>
                <c:pt idx="4">
                  <c:v>673.00420084850555</c:v>
                </c:pt>
                <c:pt idx="5">
                  <c:v>296.20862041334959</c:v>
                </c:pt>
                <c:pt idx="6">
                  <c:v>154.42710027517759</c:v>
                </c:pt>
                <c:pt idx="7">
                  <c:v>53.05935979679505</c:v>
                </c:pt>
                <c:pt idx="8">
                  <c:v>9.4611785989971349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6-4485-9E10-FD5FAC02F2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8404000"/>
        <c:axId val="968404360"/>
      </c:barChart>
      <c:catAx>
        <c:axId val="9684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8404360"/>
        <c:crosses val="autoZero"/>
        <c:auto val="1"/>
        <c:lblAlgn val="ctr"/>
        <c:lblOffset val="100"/>
        <c:noMultiLvlLbl val="0"/>
      </c:catAx>
      <c:valAx>
        <c:axId val="96840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840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99784784838525"/>
          <c:y val="0.10870954195991703"/>
          <c:w val="0.7781444960166507"/>
          <c:h val="0.693110651263903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Eficiencias!$E$4</c:f>
              <c:strCache>
                <c:ptCount val="1"/>
                <c:pt idx="0">
                  <c:v>Eficiencia Energética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Eficiencias!$D$5:$D$14</c:f>
              <c:strCache>
                <c:ptCount val="10"/>
                <c:pt idx="0">
                  <c:v>Hidrógeno 1300 (°C)</c:v>
                </c:pt>
                <c:pt idx="1">
                  <c:v>Metano  1300 (°C)</c:v>
                </c:pt>
                <c:pt idx="2">
                  <c:v>Hidrógeno 1500 (°C)</c:v>
                </c:pt>
                <c:pt idx="3">
                  <c:v>Metano  1500 (°C)</c:v>
                </c:pt>
                <c:pt idx="4">
                  <c:v>Metano 1300 (°C) </c:v>
                </c:pt>
                <c:pt idx="5">
                  <c:v>Hidrógeno 1300 (°C)</c:v>
                </c:pt>
                <c:pt idx="6">
                  <c:v>Metano 1300 (°C)</c:v>
                </c:pt>
                <c:pt idx="7">
                  <c:v>Metano</c:v>
                </c:pt>
                <c:pt idx="8">
                  <c:v>Gas Asociado</c:v>
                </c:pt>
                <c:pt idx="9">
                  <c:v>Gas Asociado</c:v>
                </c:pt>
              </c:strCache>
            </c:strRef>
          </c:cat>
          <c:val>
            <c:numRef>
              <c:f>Eficiencias!$E$5:$E$14</c:f>
              <c:numCache>
                <c:formatCode>General</c:formatCode>
                <c:ptCount val="10"/>
                <c:pt idx="0">
                  <c:v>55.7</c:v>
                </c:pt>
                <c:pt idx="1">
                  <c:v>51.3</c:v>
                </c:pt>
                <c:pt idx="2">
                  <c:v>59.2</c:v>
                </c:pt>
                <c:pt idx="3">
                  <c:v>55.5</c:v>
                </c:pt>
                <c:pt idx="4">
                  <c:v>55.2</c:v>
                </c:pt>
                <c:pt idx="5">
                  <c:v>48.2</c:v>
                </c:pt>
                <c:pt idx="6">
                  <c:v>51.1</c:v>
                </c:pt>
                <c:pt idx="7">
                  <c:v>55.3</c:v>
                </c:pt>
                <c:pt idx="8">
                  <c:v>40</c:v>
                </c:pt>
                <c:pt idx="9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A-4293-BC2C-3CE8D2DFBA2C}"/>
            </c:ext>
          </c:extLst>
        </c:ser>
        <c:ser>
          <c:idx val="1"/>
          <c:order val="1"/>
          <c:tx>
            <c:strRef>
              <c:f>Eficiencias!$F$4</c:f>
              <c:strCache>
                <c:ptCount val="1"/>
                <c:pt idx="0">
                  <c:v>Eficiencia Exergética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Eficiencias!$D$5:$D$14</c:f>
              <c:strCache>
                <c:ptCount val="10"/>
                <c:pt idx="0">
                  <c:v>Hidrógeno 1300 (°C)</c:v>
                </c:pt>
                <c:pt idx="1">
                  <c:v>Metano  1300 (°C)</c:v>
                </c:pt>
                <c:pt idx="2">
                  <c:v>Hidrógeno 1500 (°C)</c:v>
                </c:pt>
                <c:pt idx="3">
                  <c:v>Metano  1500 (°C)</c:v>
                </c:pt>
                <c:pt idx="4">
                  <c:v>Metano 1300 (°C) </c:v>
                </c:pt>
                <c:pt idx="5">
                  <c:v>Hidrógeno 1300 (°C)</c:v>
                </c:pt>
                <c:pt idx="6">
                  <c:v>Metano 1300 (°C)</c:v>
                </c:pt>
                <c:pt idx="7">
                  <c:v>Metano</c:v>
                </c:pt>
                <c:pt idx="8">
                  <c:v>Gas Asociado</c:v>
                </c:pt>
                <c:pt idx="9">
                  <c:v>Gas Asociado</c:v>
                </c:pt>
              </c:strCache>
            </c:strRef>
          </c:cat>
          <c:val>
            <c:numRef>
              <c:f>Eficiencias!$F$5:$F$14</c:f>
              <c:numCache>
                <c:formatCode>General</c:formatCode>
                <c:ptCount val="10"/>
                <c:pt idx="0">
                  <c:v>68.7</c:v>
                </c:pt>
                <c:pt idx="1">
                  <c:v>63.3</c:v>
                </c:pt>
                <c:pt idx="2">
                  <c:v>71.2</c:v>
                </c:pt>
                <c:pt idx="3">
                  <c:v>66.5</c:v>
                </c:pt>
                <c:pt idx="4">
                  <c:v>66.400000000000006</c:v>
                </c:pt>
                <c:pt idx="5">
                  <c:v>59.5</c:v>
                </c:pt>
                <c:pt idx="6">
                  <c:v>63</c:v>
                </c:pt>
                <c:pt idx="7">
                  <c:v>66.5</c:v>
                </c:pt>
                <c:pt idx="8">
                  <c:v>53.2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A-4293-BC2C-3CE8D2DFB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78854896"/>
        <c:axId val="878862096"/>
      </c:barChart>
      <c:catAx>
        <c:axId val="87885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8862096"/>
        <c:crosses val="autoZero"/>
        <c:auto val="1"/>
        <c:lblAlgn val="ctr"/>
        <c:lblOffset val="100"/>
        <c:noMultiLvlLbl val="0"/>
      </c:catAx>
      <c:valAx>
        <c:axId val="87886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8854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4866736089614"/>
          <c:y val="7.4724149096209058E-2"/>
          <c:w val="0.88315133263910384"/>
          <c:h val="0.831942540718987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Eficiencias!$Q$7</c:f>
              <c:strCache>
                <c:ptCount val="1"/>
                <c:pt idx="0">
                  <c:v>kmolO2 / kmolfuel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Eficiencias!$P$8:$P$16</c:f>
              <c:strCache>
                <c:ptCount val="9"/>
                <c:pt idx="0">
                  <c:v>Metano</c:v>
                </c:pt>
                <c:pt idx="1">
                  <c:v>Etano</c:v>
                </c:pt>
                <c:pt idx="2">
                  <c:v>Propano</c:v>
                </c:pt>
                <c:pt idx="3">
                  <c:v>i- butano</c:v>
                </c:pt>
                <c:pt idx="4">
                  <c:v>n-butano</c:v>
                </c:pt>
                <c:pt idx="5">
                  <c:v>i-pentano</c:v>
                </c:pt>
                <c:pt idx="6">
                  <c:v>n-pentano</c:v>
                </c:pt>
                <c:pt idx="7">
                  <c:v>Hexano+</c:v>
                </c:pt>
                <c:pt idx="8">
                  <c:v>Heptano+</c:v>
                </c:pt>
              </c:strCache>
            </c:strRef>
          </c:cat>
          <c:val>
            <c:numRef>
              <c:f>Eficiencias!$Q$8:$Q$16</c:f>
              <c:numCache>
                <c:formatCode>0.00</c:formatCode>
                <c:ptCount val="9"/>
                <c:pt idx="0">
                  <c:v>2</c:v>
                </c:pt>
                <c:pt idx="1">
                  <c:v>3.5</c:v>
                </c:pt>
                <c:pt idx="2">
                  <c:v>5</c:v>
                </c:pt>
                <c:pt idx="3">
                  <c:v>6.5</c:v>
                </c:pt>
                <c:pt idx="4">
                  <c:v>6.5</c:v>
                </c:pt>
                <c:pt idx="5">
                  <c:v>8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7-4630-B099-96618CC9D8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20984504"/>
        <c:axId val="820984144"/>
      </c:barChart>
      <c:catAx>
        <c:axId val="82098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984144"/>
        <c:crosses val="autoZero"/>
        <c:auto val="1"/>
        <c:lblAlgn val="ctr"/>
        <c:lblOffset val="100"/>
        <c:noMultiLvlLbl val="0"/>
      </c:catAx>
      <c:valAx>
        <c:axId val="82098414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820984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526453</xdr:colOff>
      <xdr:row>43</xdr:row>
      <xdr:rowOff>124939</xdr:rowOff>
    </xdr:from>
    <xdr:to>
      <xdr:col>18</xdr:col>
      <xdr:colOff>580158</xdr:colOff>
      <xdr:row>55</xdr:row>
      <xdr:rowOff>156930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C6A1D4-DDDD-A13C-B459-A2065483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87635" y="7883484"/>
          <a:ext cx="3725159" cy="2725885"/>
        </a:xfrm>
        <a:prstGeom prst="rect">
          <a:avLst/>
        </a:prstGeom>
      </xdr:spPr>
    </xdr:pic>
    <xdr:clientData/>
  </xdr:twoCellAnchor>
  <xdr:twoCellAnchor editAs="oneCell">
    <xdr:from>
      <xdr:col>13</xdr:col>
      <xdr:colOff>1161556</xdr:colOff>
      <xdr:row>59</xdr:row>
      <xdr:rowOff>27212</xdr:rowOff>
    </xdr:from>
    <xdr:to>
      <xdr:col>17</xdr:col>
      <xdr:colOff>77382</xdr:colOff>
      <xdr:row>76</xdr:row>
      <xdr:rowOff>183773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C1F9BC-8108-5F84-C23E-5CA6486D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37180" y="12165424"/>
          <a:ext cx="4169143" cy="3518326"/>
        </a:xfrm>
        <a:prstGeom prst="rect">
          <a:avLst/>
        </a:prstGeom>
      </xdr:spPr>
    </xdr:pic>
    <xdr:clientData/>
  </xdr:twoCellAnchor>
  <xdr:twoCellAnchor editAs="oneCell">
    <xdr:from>
      <xdr:col>2</xdr:col>
      <xdr:colOff>626533</xdr:colOff>
      <xdr:row>1</xdr:row>
      <xdr:rowOff>66221</xdr:rowOff>
    </xdr:from>
    <xdr:to>
      <xdr:col>3</xdr:col>
      <xdr:colOff>143434</xdr:colOff>
      <xdr:row>5</xdr:row>
      <xdr:rowOff>142887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62F08E-55A3-8C5D-8A58-26126844E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592" y="245515"/>
          <a:ext cx="987113" cy="86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1185333</xdr:colOff>
      <xdr:row>1</xdr:row>
      <xdr:rowOff>50799</xdr:rowOff>
    </xdr:from>
    <xdr:to>
      <xdr:col>6</xdr:col>
      <xdr:colOff>896471</xdr:colOff>
      <xdr:row>5</xdr:row>
      <xdr:rowOff>149711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8F45C0-D56C-1F9D-5ADA-2B0E0FED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651" y="230093"/>
          <a:ext cx="939302" cy="887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135808</xdr:colOff>
      <xdr:row>22</xdr:row>
      <xdr:rowOff>10063</xdr:rowOff>
    </xdr:from>
    <xdr:to>
      <xdr:col>14</xdr:col>
      <xdr:colOff>486580</xdr:colOff>
      <xdr:row>48</xdr:row>
      <xdr:rowOff>91106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1D172E3-06D2-9007-EF00-BBA0CD21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510" y="4403723"/>
          <a:ext cx="8424730" cy="5139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175293</xdr:colOff>
      <xdr:row>16</xdr:row>
      <xdr:rowOff>156884</xdr:rowOff>
    </xdr:from>
    <xdr:to>
      <xdr:col>6</xdr:col>
      <xdr:colOff>1011684</xdr:colOff>
      <xdr:row>18</xdr:row>
      <xdr:rowOff>46265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96018D-7DAC-5D48-582A-9FC1CFE27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9725"/>
        <a:stretch/>
      </xdr:blipFill>
      <xdr:spPr>
        <a:xfrm>
          <a:off x="3930864" y="3381777"/>
          <a:ext cx="2523676" cy="2921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99519</xdr:colOff>
      <xdr:row>4</xdr:row>
      <xdr:rowOff>156340</xdr:rowOff>
    </xdr:from>
    <xdr:to>
      <xdr:col>16</xdr:col>
      <xdr:colOff>128630</xdr:colOff>
      <xdr:row>7</xdr:row>
      <xdr:rowOff>45061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FEE546-1843-4569-9BEA-0AD77FE5E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7105" y="944616"/>
          <a:ext cx="3970491" cy="479928"/>
        </a:xfrm>
        <a:prstGeom prst="rect">
          <a:avLst/>
        </a:prstGeom>
      </xdr:spPr>
    </xdr:pic>
    <xdr:clientData/>
  </xdr:twoCellAnchor>
  <xdr:twoCellAnchor editAs="oneCell">
    <xdr:from>
      <xdr:col>9</xdr:col>
      <xdr:colOff>758471</xdr:colOff>
      <xdr:row>6</xdr:row>
      <xdr:rowOff>137325</xdr:rowOff>
    </xdr:from>
    <xdr:to>
      <xdr:col>17</xdr:col>
      <xdr:colOff>26276</xdr:colOff>
      <xdr:row>20</xdr:row>
      <xdr:rowOff>163969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9AB7C4-DF92-4590-5BD4-75AF781C1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505" y="1319739"/>
          <a:ext cx="5574012" cy="2785609"/>
        </a:xfrm>
        <a:prstGeom prst="rect">
          <a:avLst/>
        </a:prstGeom>
      </xdr:spPr>
    </xdr:pic>
    <xdr:clientData/>
  </xdr:twoCellAnchor>
  <xdr:twoCellAnchor editAs="oneCell">
    <xdr:from>
      <xdr:col>9</xdr:col>
      <xdr:colOff>720355</xdr:colOff>
      <xdr:row>21</xdr:row>
      <xdr:rowOff>87053</xdr:rowOff>
    </xdr:from>
    <xdr:to>
      <xdr:col>16</xdr:col>
      <xdr:colOff>550347</xdr:colOff>
      <xdr:row>44</xdr:row>
      <xdr:rowOff>135296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7EDEC0-629E-0D48-753C-CC6503CF9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1389" y="4225501"/>
          <a:ext cx="5347924" cy="45808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736124</xdr:colOff>
      <xdr:row>15</xdr:row>
      <xdr:rowOff>80682</xdr:rowOff>
    </xdr:from>
    <xdr:to>
      <xdr:col>7</xdr:col>
      <xdr:colOff>774585</xdr:colOff>
      <xdr:row>28</xdr:row>
      <xdr:rowOff>113222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5FC6A7-5C97-4BD6-7A3B-E15C5E81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32124" y="3530464"/>
          <a:ext cx="2670825" cy="27341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817418</xdr:colOff>
      <xdr:row>14</xdr:row>
      <xdr:rowOff>108858</xdr:rowOff>
    </xdr:from>
    <xdr:to>
      <xdr:col>6</xdr:col>
      <xdr:colOff>379704</xdr:colOff>
      <xdr:row>28</xdr:row>
      <xdr:rowOff>188354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45BD3B-033A-6AA8-307A-1C2E9D8A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2075" y="3222172"/>
          <a:ext cx="4177829" cy="3149268"/>
        </a:xfrm>
        <a:prstGeom prst="rect">
          <a:avLst/>
        </a:prstGeom>
      </xdr:spPr>
    </xdr:pic>
    <xdr:clientData/>
  </xdr:twoCellAnchor>
  <xdr:twoCellAnchor>
    <xdr:from>
      <xdr:col>18</xdr:col>
      <xdr:colOff>401409</xdr:colOff>
      <xdr:row>2</xdr:row>
      <xdr:rowOff>125185</xdr:rowOff>
    </xdr:from>
    <xdr:to>
      <xdr:col>28</xdr:col>
      <xdr:colOff>653143</xdr:colOff>
      <xdr:row>21</xdr:row>
      <xdr:rowOff>40821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F6F8441-639B-47B5-E318-628215E61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559130</xdr:colOff>
      <xdr:row>16</xdr:row>
      <xdr:rowOff>52262</xdr:rowOff>
    </xdr:from>
    <xdr:to>
      <xdr:col>8</xdr:col>
      <xdr:colOff>695201</xdr:colOff>
      <xdr:row>48</xdr:row>
      <xdr:rowOff>93083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CE3126-9F27-E337-47EB-22B1B3AD5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559129</xdr:colOff>
      <xdr:row>17</xdr:row>
      <xdr:rowOff>28697</xdr:rowOff>
    </xdr:from>
    <xdr:to>
      <xdr:col>20</xdr:col>
      <xdr:colOff>422751</xdr:colOff>
      <xdr:row>47</xdr:row>
      <xdr:rowOff>73602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250418-797E-F5D5-3C1A-19C3ACDD4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E0BB-AEB3-45D0-812A-8CB2EE75D415}">
  <sheetPr codeName="Hoja3"/>
  <dimension ref="B3:AR109"/>
  <sheetViews>
    <sheetView topLeftCell="A14" zoomScale="57" zoomScaleNormal="85" workbookViewId="0">
      <selection activeCell="C27" sqref="C27"/>
    </sheetView>
  </sheetViews>
  <sheetFormatPr baseColWidth="10" defaultColWidth="11.54296875" defaultRowHeight="15.5" x14ac:dyDescent="0.35"/>
  <cols>
    <col min="1" max="1" width="11.54296875" style="21"/>
    <col min="2" max="2" width="29" style="21" bestFit="1" customWidth="1"/>
    <col min="3" max="3" width="21.453125" style="21" bestFit="1" customWidth="1"/>
    <col min="4" max="4" width="19.453125" style="21" customWidth="1"/>
    <col min="5" max="5" width="17.453125" style="21" customWidth="1"/>
    <col min="6" max="6" width="17.81640625" style="21" bestFit="1" customWidth="1"/>
    <col min="7" max="7" width="17.7265625" style="21" bestFit="1" customWidth="1"/>
    <col min="8" max="8" width="17.7265625" style="21" customWidth="1"/>
    <col min="9" max="9" width="18.54296875" style="21" customWidth="1"/>
    <col min="10" max="10" width="26" style="21" customWidth="1"/>
    <col min="11" max="11" width="16.7265625" style="21" customWidth="1"/>
    <col min="12" max="12" width="23.81640625" style="21" bestFit="1" customWidth="1"/>
    <col min="13" max="13" width="23.453125" style="21" bestFit="1" customWidth="1"/>
    <col min="14" max="14" width="17.81640625" style="21" customWidth="1"/>
    <col min="15" max="15" width="18.26953125" style="21" bestFit="1" customWidth="1"/>
    <col min="16" max="16" width="25.26953125" style="21" customWidth="1"/>
    <col min="17" max="17" width="15" style="21" bestFit="1" customWidth="1"/>
    <col min="18" max="18" width="14.81640625" style="21" bestFit="1" customWidth="1"/>
    <col min="19" max="19" width="12.81640625" style="21" bestFit="1" customWidth="1"/>
    <col min="20" max="20" width="17" style="21" customWidth="1"/>
    <col min="21" max="21" width="15.1796875" style="21" customWidth="1"/>
    <col min="22" max="22" width="14.81640625" style="21" bestFit="1" customWidth="1"/>
    <col min="23" max="23" width="15" style="21" bestFit="1" customWidth="1"/>
    <col min="24" max="24" width="14.453125" style="21" bestFit="1" customWidth="1"/>
    <col min="25" max="25" width="12.1796875" style="21" bestFit="1" customWidth="1"/>
    <col min="26" max="26" width="12.453125" style="21" bestFit="1" customWidth="1"/>
    <col min="27" max="27" width="11.54296875" style="21" bestFit="1" customWidth="1"/>
    <col min="28" max="28" width="12" style="21" bestFit="1" customWidth="1"/>
    <col min="29" max="16384" width="11.54296875" style="21"/>
  </cols>
  <sheetData>
    <row r="3" spans="2:14" x14ac:dyDescent="0.35">
      <c r="E3" s="23" t="s">
        <v>0</v>
      </c>
    </row>
    <row r="4" spans="2:14" x14ac:dyDescent="0.35">
      <c r="E4" s="23" t="s">
        <v>1</v>
      </c>
    </row>
    <row r="5" spans="2:14" x14ac:dyDescent="0.35">
      <c r="E5" s="23" t="s">
        <v>2</v>
      </c>
    </row>
    <row r="6" spans="2:14" x14ac:dyDescent="0.35">
      <c r="D6" s="22"/>
    </row>
    <row r="12" spans="2:14" x14ac:dyDescent="0.35">
      <c r="B12" s="24"/>
      <c r="C12" s="25" t="s">
        <v>3</v>
      </c>
      <c r="D12" s="25" t="s">
        <v>4</v>
      </c>
      <c r="E12" s="25" t="s">
        <v>5</v>
      </c>
      <c r="F12" s="25" t="s">
        <v>6</v>
      </c>
      <c r="G12" s="25" t="s">
        <v>7</v>
      </c>
      <c r="H12" s="25" t="s">
        <v>8</v>
      </c>
      <c r="I12" s="25" t="s">
        <v>9</v>
      </c>
      <c r="J12" s="25" t="s">
        <v>10</v>
      </c>
      <c r="K12" s="25" t="s">
        <v>11</v>
      </c>
      <c r="L12" s="26"/>
      <c r="M12" s="26"/>
      <c r="N12" s="26"/>
    </row>
    <row r="13" spans="2:14" x14ac:dyDescent="0.35">
      <c r="B13" s="27" t="s">
        <v>12</v>
      </c>
      <c r="C13" s="28">
        <v>1.82</v>
      </c>
      <c r="D13" s="29">
        <v>4.7253423476070751</v>
      </c>
      <c r="E13" s="28">
        <v>5.23</v>
      </c>
      <c r="F13" s="28">
        <v>4.5225</v>
      </c>
      <c r="G13" s="30">
        <v>2.34</v>
      </c>
      <c r="H13" s="30">
        <v>4.8600000000000003</v>
      </c>
      <c r="I13" s="28">
        <v>9.0140999999999991</v>
      </c>
      <c r="J13" s="28">
        <v>4.2</v>
      </c>
      <c r="K13" s="30">
        <v>3.2193999999999998</v>
      </c>
    </row>
    <row r="14" spans="2:14" x14ac:dyDescent="0.35">
      <c r="B14" s="25" t="s">
        <v>13</v>
      </c>
      <c r="C14" s="28">
        <v>4.3</v>
      </c>
      <c r="D14" s="29">
        <v>24.715150521012564</v>
      </c>
      <c r="E14" s="28">
        <v>55.83</v>
      </c>
      <c r="F14" s="28">
        <v>40.062399999999997</v>
      </c>
      <c r="G14" s="30">
        <v>29.69</v>
      </c>
      <c r="H14" s="30">
        <v>56.16</v>
      </c>
      <c r="I14" s="28">
        <v>47.267499999999998</v>
      </c>
      <c r="J14" s="28">
        <v>38.92</v>
      </c>
      <c r="K14" s="30">
        <v>38.3123</v>
      </c>
    </row>
    <row r="15" spans="2:14" x14ac:dyDescent="0.35">
      <c r="B15" s="31" t="s">
        <v>14</v>
      </c>
      <c r="C15" s="28">
        <v>78.33</v>
      </c>
      <c r="D15" s="29">
        <v>56.758362251679955</v>
      </c>
      <c r="E15" s="28">
        <v>4.24</v>
      </c>
      <c r="F15" s="28">
        <v>16.549299999999999</v>
      </c>
      <c r="G15" s="30">
        <v>19.25</v>
      </c>
      <c r="H15" s="30">
        <v>7.15</v>
      </c>
      <c r="I15" s="28">
        <v>11.818300000000001</v>
      </c>
      <c r="J15" s="28">
        <v>35.28</v>
      </c>
      <c r="K15" s="30">
        <v>21.805599999999998</v>
      </c>
    </row>
    <row r="16" spans="2:14" x14ac:dyDescent="0.35">
      <c r="B16" s="25" t="s">
        <v>15</v>
      </c>
      <c r="C16" s="28">
        <v>1.61</v>
      </c>
      <c r="D16" s="29">
        <v>3.799231025239453</v>
      </c>
      <c r="E16" s="28">
        <v>9.19</v>
      </c>
      <c r="F16" s="28">
        <v>8.9749999999999996</v>
      </c>
      <c r="G16" s="30">
        <v>10.06</v>
      </c>
      <c r="H16" s="30">
        <v>7.34</v>
      </c>
      <c r="I16" s="28">
        <v>5.3872999999999998</v>
      </c>
      <c r="J16" s="28">
        <v>5.23</v>
      </c>
      <c r="K16" s="30">
        <v>6.4886999999999997</v>
      </c>
    </row>
    <row r="17" spans="2:23" x14ac:dyDescent="0.35">
      <c r="B17" s="25" t="s">
        <v>16</v>
      </c>
      <c r="C17" s="28">
        <v>1.41</v>
      </c>
      <c r="D17" s="29">
        <v>2.4033740330814811E-2</v>
      </c>
      <c r="E17" s="28">
        <v>0</v>
      </c>
      <c r="F17" s="28">
        <v>10.1257</v>
      </c>
      <c r="G17" s="30">
        <v>8.14</v>
      </c>
      <c r="H17" s="30">
        <v>5.35</v>
      </c>
      <c r="I17" s="28">
        <v>1.8537999999999999</v>
      </c>
      <c r="J17" s="28">
        <v>0.65</v>
      </c>
      <c r="K17" s="30">
        <v>5.3089000000000004</v>
      </c>
    </row>
    <row r="18" spans="2:23" ht="24" customHeight="1" x14ac:dyDescent="0.35">
      <c r="B18" s="25" t="s">
        <v>17</v>
      </c>
      <c r="C18" s="28">
        <v>4.97</v>
      </c>
      <c r="D18" s="29">
        <v>5.337626626608758</v>
      </c>
      <c r="E18" s="28">
        <v>11.38</v>
      </c>
      <c r="F18" s="28">
        <v>11.3864</v>
      </c>
      <c r="G18" s="30">
        <v>16.78</v>
      </c>
      <c r="H18" s="30">
        <v>10</v>
      </c>
      <c r="I18" s="28">
        <v>7.9988000000000001</v>
      </c>
      <c r="J18" s="28">
        <v>7.66</v>
      </c>
      <c r="K18" s="30">
        <v>11.3977</v>
      </c>
    </row>
    <row r="19" spans="2:23" x14ac:dyDescent="0.35">
      <c r="B19" s="25" t="s">
        <v>18</v>
      </c>
      <c r="C19" s="28">
        <v>1.37</v>
      </c>
      <c r="D19" s="29">
        <v>1.1437987066928823</v>
      </c>
      <c r="E19" s="28">
        <v>2.61</v>
      </c>
      <c r="F19" s="28">
        <v>1.6209</v>
      </c>
      <c r="G19" s="30">
        <v>3.2</v>
      </c>
      <c r="H19" s="30">
        <v>2.46</v>
      </c>
      <c r="I19" s="28">
        <v>3.2726999999999999</v>
      </c>
      <c r="J19" s="28">
        <v>2.12</v>
      </c>
      <c r="K19" s="30">
        <v>3.2494000000000001</v>
      </c>
    </row>
    <row r="20" spans="2:23" x14ac:dyDescent="0.35">
      <c r="B20" s="25" t="s">
        <v>19</v>
      </c>
      <c r="C20" s="28">
        <v>3.41</v>
      </c>
      <c r="D20" s="29">
        <v>1.9657242638671062</v>
      </c>
      <c r="E20" s="28">
        <v>6.09</v>
      </c>
      <c r="F20" s="28">
        <v>4.6626000000000003</v>
      </c>
      <c r="G20" s="30">
        <v>7.14</v>
      </c>
      <c r="H20" s="30">
        <v>3.78</v>
      </c>
      <c r="I20" s="28">
        <v>6.1032000000000002</v>
      </c>
      <c r="J20" s="28">
        <v>3.24</v>
      </c>
      <c r="K20" s="30">
        <v>6.0388000000000002</v>
      </c>
    </row>
    <row r="21" spans="2:23" x14ac:dyDescent="0.35">
      <c r="B21" s="25" t="s">
        <v>20</v>
      </c>
      <c r="C21" s="28">
        <v>1.37</v>
      </c>
      <c r="D21" s="29">
        <v>0.7350214565008425</v>
      </c>
      <c r="E21" s="28">
        <v>1.93</v>
      </c>
      <c r="F21" s="28">
        <v>1.1807000000000001</v>
      </c>
      <c r="G21" s="30">
        <v>2.09</v>
      </c>
      <c r="H21" s="30">
        <v>1.41</v>
      </c>
      <c r="I21" s="28">
        <v>3.2961999999999998</v>
      </c>
      <c r="J21" s="28">
        <v>1.49</v>
      </c>
      <c r="K21" s="30">
        <v>2.5695000000000001</v>
      </c>
    </row>
    <row r="22" spans="2:23" x14ac:dyDescent="0.35">
      <c r="B22" s="25" t="s">
        <v>21</v>
      </c>
      <c r="C22" s="28">
        <v>1.33</v>
      </c>
      <c r="D22" s="29">
        <v>0.56376257176066369</v>
      </c>
      <c r="E22" s="28">
        <v>1.81</v>
      </c>
      <c r="F22" s="28">
        <v>0.78039999999999998</v>
      </c>
      <c r="G22" s="30">
        <v>1.08</v>
      </c>
      <c r="H22" s="30">
        <v>0.84</v>
      </c>
      <c r="I22" s="28">
        <v>2.8279000000000001</v>
      </c>
      <c r="J22" s="28">
        <v>0.45</v>
      </c>
      <c r="K22" s="30">
        <v>1.2398</v>
      </c>
    </row>
    <row r="23" spans="2:23" x14ac:dyDescent="0.35">
      <c r="B23" s="25" t="s">
        <v>22</v>
      </c>
      <c r="C23" s="28">
        <v>7.0000000000000007E-2</v>
      </c>
      <c r="D23" s="29">
        <v>0.19656017403320294</v>
      </c>
      <c r="E23" s="28">
        <v>1.1000000000000001</v>
      </c>
      <c r="F23" s="28">
        <v>0.13009999999999999</v>
      </c>
      <c r="G23" s="30">
        <v>0.17</v>
      </c>
      <c r="H23" s="30">
        <v>0.6</v>
      </c>
      <c r="I23" s="28">
        <v>0.93879999999999997</v>
      </c>
      <c r="J23" s="28">
        <v>0.37</v>
      </c>
      <c r="K23" s="30">
        <v>0.32990000000000003</v>
      </c>
    </row>
    <row r="24" spans="2:23" x14ac:dyDescent="0.35">
      <c r="B24" s="25" t="s">
        <v>23</v>
      </c>
      <c r="C24" s="28">
        <v>0.01</v>
      </c>
      <c r="D24" s="29">
        <v>3.5386314666610366E-2</v>
      </c>
      <c r="E24" s="28">
        <f>0.49+0.09+0.01</f>
        <v>0.59</v>
      </c>
      <c r="F24" s="28">
        <v>4.0000000000000001E-3</v>
      </c>
      <c r="G24" s="30">
        <v>0.06</v>
      </c>
      <c r="H24" s="30">
        <v>0.06</v>
      </c>
      <c r="I24" s="28">
        <v>0.22140000000000001</v>
      </c>
      <c r="J24" s="28">
        <v>0.39</v>
      </c>
      <c r="K24" s="30">
        <v>0.04</v>
      </c>
    </row>
    <row r="25" spans="2:23" x14ac:dyDescent="0.35">
      <c r="B25" s="25" t="s">
        <v>24</v>
      </c>
      <c r="C25" s="32">
        <f>SUM(C13:C24)</f>
        <v>100</v>
      </c>
      <c r="D25" s="32">
        <f t="shared" ref="D25:K25" si="0">SUM(D13:D24)</f>
        <v>99.999999999999929</v>
      </c>
      <c r="E25" s="32">
        <f t="shared" si="0"/>
        <v>100</v>
      </c>
      <c r="F25" s="32">
        <f t="shared" si="0"/>
        <v>99.999999999999986</v>
      </c>
      <c r="G25" s="32">
        <f t="shared" si="0"/>
        <v>100.00000000000001</v>
      </c>
      <c r="H25" s="32">
        <f t="shared" si="0"/>
        <v>100.00999999999999</v>
      </c>
      <c r="I25" s="32">
        <f t="shared" si="0"/>
        <v>100</v>
      </c>
      <c r="J25" s="32">
        <f t="shared" si="0"/>
        <v>100.00000000000001</v>
      </c>
      <c r="K25" s="32">
        <f t="shared" si="0"/>
        <v>99.999999999999986</v>
      </c>
      <c r="M25" s="21" t="s">
        <v>25</v>
      </c>
      <c r="O25" s="21" t="s">
        <v>26</v>
      </c>
      <c r="P25" s="21" t="s">
        <v>27</v>
      </c>
      <c r="Q25" s="21" t="s">
        <v>28</v>
      </c>
      <c r="T25" s="21">
        <v>25</v>
      </c>
      <c r="U25" s="21">
        <v>25</v>
      </c>
      <c r="V25" s="21" t="s">
        <v>29</v>
      </c>
      <c r="W25" s="21" t="s">
        <v>30</v>
      </c>
    </row>
    <row r="26" spans="2:23" x14ac:dyDescent="0.35">
      <c r="B26" s="26"/>
      <c r="C26" s="33"/>
      <c r="D26" s="33"/>
      <c r="E26" s="33"/>
      <c r="F26" s="33"/>
      <c r="G26" s="33"/>
      <c r="H26" s="33"/>
      <c r="I26" s="33"/>
      <c r="J26" s="33"/>
      <c r="K26" s="33"/>
      <c r="T26" s="22" t="s">
        <v>31</v>
      </c>
      <c r="U26" s="22" t="s">
        <v>31</v>
      </c>
      <c r="V26" s="22" t="s">
        <v>32</v>
      </c>
      <c r="W26" s="22" t="s">
        <v>33</v>
      </c>
    </row>
    <row r="27" spans="2:23" x14ac:dyDescent="0.35">
      <c r="B27" s="24"/>
      <c r="C27" s="25" t="s">
        <v>3</v>
      </c>
      <c r="D27" s="25" t="s">
        <v>4</v>
      </c>
      <c r="E27" s="25" t="s">
        <v>5</v>
      </c>
      <c r="F27" s="25" t="s">
        <v>6</v>
      </c>
      <c r="G27" s="25" t="s">
        <v>7</v>
      </c>
      <c r="H27" s="25" t="s">
        <v>8</v>
      </c>
      <c r="I27" s="25" t="s">
        <v>9</v>
      </c>
      <c r="J27" s="25" t="s">
        <v>10</v>
      </c>
      <c r="K27" s="25" t="s">
        <v>11</v>
      </c>
      <c r="M27" s="24" t="s">
        <v>34</v>
      </c>
      <c r="N27" s="25" t="s">
        <v>5</v>
      </c>
      <c r="O27" s="5" t="s">
        <v>7</v>
      </c>
      <c r="P27" s="5" t="s">
        <v>8</v>
      </c>
      <c r="Q27" s="5" t="s">
        <v>11</v>
      </c>
      <c r="T27" s="25" t="s">
        <v>5</v>
      </c>
      <c r="U27" s="5" t="s">
        <v>7</v>
      </c>
      <c r="V27" s="5" t="s">
        <v>8</v>
      </c>
      <c r="W27" s="5" t="s">
        <v>11</v>
      </c>
    </row>
    <row r="28" spans="2:23" x14ac:dyDescent="0.35">
      <c r="B28" s="27" t="s">
        <v>12</v>
      </c>
      <c r="C28" s="34">
        <f>C13/100</f>
        <v>1.8200000000000001E-2</v>
      </c>
      <c r="D28" s="34">
        <f t="shared" ref="D28:K28" si="1">D13/100</f>
        <v>4.7253423476070748E-2</v>
      </c>
      <c r="E28" s="34">
        <f t="shared" si="1"/>
        <v>5.2300000000000006E-2</v>
      </c>
      <c r="F28" s="34">
        <f t="shared" si="1"/>
        <v>4.5225000000000001E-2</v>
      </c>
      <c r="G28" s="34">
        <f>G13/100</f>
        <v>2.3399999999999997E-2</v>
      </c>
      <c r="H28" s="34">
        <f t="shared" si="1"/>
        <v>4.8600000000000004E-2</v>
      </c>
      <c r="I28" s="34">
        <f t="shared" si="1"/>
        <v>9.0140999999999985E-2</v>
      </c>
      <c r="J28" s="34">
        <f t="shared" si="1"/>
        <v>4.2000000000000003E-2</v>
      </c>
      <c r="K28" s="34">
        <f t="shared" si="1"/>
        <v>3.2194E-2</v>
      </c>
      <c r="M28" s="27" t="s">
        <v>12</v>
      </c>
      <c r="N28" s="4">
        <f>E63/E76</f>
        <v>5.2297908083676667E-2</v>
      </c>
      <c r="O28" s="4">
        <f>G63/$G$76</f>
        <v>2.3399064037438497E-2</v>
      </c>
      <c r="P28" s="4">
        <f>H63/$H$76</f>
        <v>4.8593196952426664E-2</v>
      </c>
      <c r="Q28" s="4">
        <f>K63/$K$76</f>
        <v>3.2192712291508351E-2</v>
      </c>
      <c r="S28" s="35" t="s">
        <v>12</v>
      </c>
      <c r="T28" s="4">
        <v>5.2297908083676653E-2</v>
      </c>
      <c r="U28" s="4">
        <v>2.3399064037438497E-2</v>
      </c>
      <c r="V28" s="4">
        <v>4.8593196952426677E-2</v>
      </c>
      <c r="W28" s="4">
        <v>3.2192712291508302E-2</v>
      </c>
    </row>
    <row r="29" spans="2:23" ht="30" x14ac:dyDescent="0.35">
      <c r="B29" s="25" t="s">
        <v>13</v>
      </c>
      <c r="C29" s="36">
        <f>C14/100</f>
        <v>4.2999999999999997E-2</v>
      </c>
      <c r="D29" s="36">
        <f t="shared" ref="D29:K29" si="2">D14/100</f>
        <v>0.24715150521012563</v>
      </c>
      <c r="E29" s="36">
        <f t="shared" si="2"/>
        <v>0.55830000000000002</v>
      </c>
      <c r="F29" s="36">
        <f t="shared" si="2"/>
        <v>0.40062399999999998</v>
      </c>
      <c r="G29" s="36">
        <f t="shared" si="2"/>
        <v>0.2969</v>
      </c>
      <c r="H29" s="36">
        <f t="shared" si="2"/>
        <v>0.56159999999999999</v>
      </c>
      <c r="I29" s="36">
        <f t="shared" si="2"/>
        <v>0.47267499999999996</v>
      </c>
      <c r="J29" s="36">
        <f t="shared" si="2"/>
        <v>0.38919999999999999</v>
      </c>
      <c r="K29" s="36">
        <f t="shared" si="2"/>
        <v>0.38312299999999999</v>
      </c>
      <c r="M29" s="25" t="s">
        <v>13</v>
      </c>
      <c r="N29" s="4">
        <f t="shared" ref="N29:N40" si="3">E64/$E$76</f>
        <v>0.55827766889324437</v>
      </c>
      <c r="O29" s="4">
        <f t="shared" ref="O29:O40" si="4">G64/$G$76</f>
        <v>0.296888124475021</v>
      </c>
      <c r="P29" s="4">
        <f t="shared" ref="P29:P40" si="5">H64/$H$76</f>
        <v>0.56152138700581911</v>
      </c>
      <c r="Q29" s="4">
        <f t="shared" ref="Q29:Q40" si="6">K64/$K$76</f>
        <v>0.38310767569297233</v>
      </c>
      <c r="S29" s="37" t="s">
        <v>14</v>
      </c>
      <c r="T29" s="4">
        <v>4.2398304067837282E-2</v>
      </c>
      <c r="U29" s="4">
        <v>0.19249230030798767</v>
      </c>
      <c r="V29" s="4">
        <v>7.1489991401203851E-2</v>
      </c>
      <c r="W29" s="4">
        <v>0.21804727810887564</v>
      </c>
    </row>
    <row r="30" spans="2:23" x14ac:dyDescent="0.35">
      <c r="B30" s="31" t="s">
        <v>14</v>
      </c>
      <c r="C30" s="34">
        <f t="shared" ref="C30:K30" si="7">C15/100</f>
        <v>0.7833</v>
      </c>
      <c r="D30" s="34">
        <f t="shared" si="7"/>
        <v>0.5675836225167995</v>
      </c>
      <c r="E30" s="34">
        <f t="shared" si="7"/>
        <v>4.24E-2</v>
      </c>
      <c r="F30" s="34">
        <f t="shared" si="7"/>
        <v>0.165493</v>
      </c>
      <c r="G30" s="34">
        <f>G15/100</f>
        <v>0.1925</v>
      </c>
      <c r="H30" s="34">
        <f t="shared" si="7"/>
        <v>7.1500000000000008E-2</v>
      </c>
      <c r="I30" s="34">
        <f t="shared" si="7"/>
        <v>0.11818300000000001</v>
      </c>
      <c r="J30" s="34">
        <f t="shared" si="7"/>
        <v>0.3528</v>
      </c>
      <c r="K30" s="34">
        <f t="shared" si="7"/>
        <v>0.21805599999999997</v>
      </c>
      <c r="M30" s="31" t="s">
        <v>14</v>
      </c>
      <c r="N30" s="4">
        <f t="shared" si="3"/>
        <v>4.2398304067837296E-2</v>
      </c>
      <c r="O30" s="4">
        <f t="shared" si="4"/>
        <v>0.19249230030798767</v>
      </c>
      <c r="P30" s="4">
        <f t="shared" si="5"/>
        <v>7.1489991401203837E-2</v>
      </c>
      <c r="Q30" s="4">
        <f t="shared" si="6"/>
        <v>0.21804727810887564</v>
      </c>
      <c r="S30" s="38" t="s">
        <v>35</v>
      </c>
      <c r="T30" s="4">
        <v>3.9998400063997445E-5</v>
      </c>
      <c r="U30" s="4">
        <v>3.9998400063997439E-5</v>
      </c>
      <c r="V30" s="4">
        <v>3.9994400783890264E-5</v>
      </c>
      <c r="W30" s="4">
        <v>3.9998400063997445E-5</v>
      </c>
    </row>
    <row r="31" spans="2:23" x14ac:dyDescent="0.35">
      <c r="B31" s="25" t="s">
        <v>15</v>
      </c>
      <c r="C31" s="36">
        <f t="shared" ref="C31:K31" si="8">C16/100</f>
        <v>1.61E-2</v>
      </c>
      <c r="D31" s="36">
        <f t="shared" si="8"/>
        <v>3.799231025239453E-2</v>
      </c>
      <c r="E31" s="36">
        <f t="shared" si="8"/>
        <v>9.1899999999999996E-2</v>
      </c>
      <c r="F31" s="36">
        <f t="shared" si="8"/>
        <v>8.9749999999999996E-2</v>
      </c>
      <c r="G31" s="36">
        <f t="shared" si="8"/>
        <v>0.10060000000000001</v>
      </c>
      <c r="H31" s="36">
        <f t="shared" si="8"/>
        <v>7.3399999999999993E-2</v>
      </c>
      <c r="I31" s="36">
        <f t="shared" si="8"/>
        <v>5.3872999999999997E-2</v>
      </c>
      <c r="J31" s="36">
        <f t="shared" si="8"/>
        <v>5.2300000000000006E-2</v>
      </c>
      <c r="K31" s="36">
        <f t="shared" si="8"/>
        <v>6.4887E-2</v>
      </c>
      <c r="M31" s="25" t="s">
        <v>15</v>
      </c>
      <c r="N31" s="4">
        <f t="shared" si="3"/>
        <v>9.1896324147034136E-2</v>
      </c>
      <c r="O31" s="4">
        <f t="shared" si="4"/>
        <v>0.10059597616095356</v>
      </c>
      <c r="P31" s="4">
        <f t="shared" si="5"/>
        <v>7.3389725438438608E-2</v>
      </c>
      <c r="Q31" s="4">
        <f t="shared" si="6"/>
        <v>6.4884404623815062E-2</v>
      </c>
      <c r="S31" s="38" t="s">
        <v>13</v>
      </c>
      <c r="T31" s="4">
        <v>0.55827766889324426</v>
      </c>
      <c r="U31" s="4">
        <v>0.296888124475021</v>
      </c>
      <c r="V31" s="4">
        <v>0.56152138700581922</v>
      </c>
      <c r="W31" s="4">
        <v>0.38310767569297227</v>
      </c>
    </row>
    <row r="32" spans="2:23" x14ac:dyDescent="0.35">
      <c r="B32" s="39" t="s">
        <v>16</v>
      </c>
      <c r="C32" s="40">
        <f t="shared" ref="C32:K32" si="9">C17/100</f>
        <v>1.41E-2</v>
      </c>
      <c r="D32" s="40">
        <f>D17/100</f>
        <v>2.4033740330814811E-4</v>
      </c>
      <c r="E32" s="40">
        <f>E17/100</f>
        <v>0</v>
      </c>
      <c r="F32" s="40">
        <f t="shared" si="9"/>
        <v>0.101257</v>
      </c>
      <c r="G32" s="41">
        <f>G17/100</f>
        <v>8.14E-2</v>
      </c>
      <c r="H32" s="40">
        <f t="shared" si="9"/>
        <v>5.3499999999999999E-2</v>
      </c>
      <c r="I32" s="40">
        <f t="shared" si="9"/>
        <v>1.8537999999999999E-2</v>
      </c>
      <c r="J32" s="40">
        <f t="shared" si="9"/>
        <v>6.5000000000000006E-3</v>
      </c>
      <c r="K32" s="40">
        <f t="shared" si="9"/>
        <v>5.3089000000000004E-2</v>
      </c>
      <c r="M32" s="25" t="s">
        <v>16</v>
      </c>
      <c r="N32" s="4">
        <f t="shared" si="3"/>
        <v>0</v>
      </c>
      <c r="O32" s="4">
        <f t="shared" si="4"/>
        <v>8.1396744130234788E-2</v>
      </c>
      <c r="P32" s="4">
        <f t="shared" si="5"/>
        <v>5.3492511048453213E-2</v>
      </c>
      <c r="Q32" s="4">
        <f t="shared" si="6"/>
        <v>5.3086876524939014E-2</v>
      </c>
      <c r="S32" s="38" t="s">
        <v>15</v>
      </c>
      <c r="T32" s="4">
        <v>9.1896324147034122E-2</v>
      </c>
      <c r="U32" s="4">
        <v>0.10059597616095356</v>
      </c>
      <c r="V32" s="4">
        <v>7.3389725438438622E-2</v>
      </c>
      <c r="W32" s="4">
        <v>6.4884404623815048E-2</v>
      </c>
    </row>
    <row r="33" spans="2:44" x14ac:dyDescent="0.35">
      <c r="B33" s="25" t="s">
        <v>17</v>
      </c>
      <c r="C33" s="36">
        <f t="shared" ref="C33:K33" si="10">C18/100</f>
        <v>4.9699999999999994E-2</v>
      </c>
      <c r="D33" s="36">
        <f t="shared" si="10"/>
        <v>5.3376266266087581E-2</v>
      </c>
      <c r="E33" s="36">
        <f t="shared" si="10"/>
        <v>0.11380000000000001</v>
      </c>
      <c r="F33" s="36">
        <f t="shared" si="10"/>
        <v>0.11386400000000001</v>
      </c>
      <c r="G33" s="36">
        <f t="shared" si="10"/>
        <v>0.1678</v>
      </c>
      <c r="H33" s="36">
        <f t="shared" si="10"/>
        <v>0.1</v>
      </c>
      <c r="I33" s="36">
        <f t="shared" si="10"/>
        <v>7.9988000000000004E-2</v>
      </c>
      <c r="J33" s="36">
        <f t="shared" si="10"/>
        <v>7.6600000000000001E-2</v>
      </c>
      <c r="K33" s="36">
        <f t="shared" si="10"/>
        <v>0.11397700000000001</v>
      </c>
      <c r="M33" s="25" t="s">
        <v>36</v>
      </c>
      <c r="N33" s="4">
        <f t="shared" si="3"/>
        <v>0.11379544818207275</v>
      </c>
      <c r="O33" s="4">
        <f t="shared" si="4"/>
        <v>0.16779328826846926</v>
      </c>
      <c r="P33" s="4">
        <f t="shared" si="5"/>
        <v>9.9986001959725637E-2</v>
      </c>
      <c r="Q33" s="4">
        <f t="shared" si="6"/>
        <v>0.11397244110235594</v>
      </c>
      <c r="S33" s="38" t="s">
        <v>36</v>
      </c>
      <c r="T33" s="4">
        <v>0.11379544818207273</v>
      </c>
      <c r="U33" s="4">
        <v>0.16779328826846926</v>
      </c>
      <c r="V33" s="4">
        <v>9.9986001959725665E-2</v>
      </c>
      <c r="W33" s="4">
        <v>0.11397244110235592</v>
      </c>
    </row>
    <row r="34" spans="2:44" x14ac:dyDescent="0.35">
      <c r="B34" s="25" t="s">
        <v>18</v>
      </c>
      <c r="C34" s="36">
        <f t="shared" ref="C34:K34" si="11">C19/100</f>
        <v>1.37E-2</v>
      </c>
      <c r="D34" s="36">
        <f t="shared" si="11"/>
        <v>1.1437987066928824E-2</v>
      </c>
      <c r="E34" s="36">
        <f t="shared" si="11"/>
        <v>2.6099999999999998E-2</v>
      </c>
      <c r="F34" s="36">
        <f t="shared" si="11"/>
        <v>1.6209000000000001E-2</v>
      </c>
      <c r="G34" s="36">
        <f t="shared" si="11"/>
        <v>3.2000000000000001E-2</v>
      </c>
      <c r="H34" s="36">
        <f t="shared" si="11"/>
        <v>2.46E-2</v>
      </c>
      <c r="I34" s="36">
        <f t="shared" si="11"/>
        <v>3.2726999999999999E-2</v>
      </c>
      <c r="J34" s="36">
        <f t="shared" si="11"/>
        <v>2.12E-2</v>
      </c>
      <c r="K34" s="36">
        <f t="shared" si="11"/>
        <v>3.2494000000000002E-2</v>
      </c>
      <c r="M34" s="25" t="s">
        <v>18</v>
      </c>
      <c r="N34" s="4">
        <f t="shared" si="3"/>
        <v>2.6098956041758336E-2</v>
      </c>
      <c r="O34" s="4">
        <f t="shared" si="4"/>
        <v>3.199872005119795E-2</v>
      </c>
      <c r="P34" s="4">
        <f t="shared" si="5"/>
        <v>2.4596556482092507E-2</v>
      </c>
      <c r="Q34" s="4">
        <f t="shared" si="6"/>
        <v>3.2492700291988329E-2</v>
      </c>
      <c r="S34" s="38" t="s">
        <v>18</v>
      </c>
      <c r="T34" s="4">
        <v>2.6098956041758326E-2</v>
      </c>
      <c r="U34" s="4">
        <v>3.199872005119795E-2</v>
      </c>
      <c r="V34" s="4">
        <v>2.459655648209251E-2</v>
      </c>
      <c r="W34" s="4">
        <v>3.2492700291988329E-2</v>
      </c>
    </row>
    <row r="35" spans="2:44" x14ac:dyDescent="0.35">
      <c r="B35" s="25" t="s">
        <v>19</v>
      </c>
      <c r="C35" s="36">
        <f t="shared" ref="C35:K35" si="12">C20/100</f>
        <v>3.4099999999999998E-2</v>
      </c>
      <c r="D35" s="36">
        <f t="shared" si="12"/>
        <v>1.9657242638671062E-2</v>
      </c>
      <c r="E35" s="36">
        <f t="shared" si="12"/>
        <v>6.0899999999999996E-2</v>
      </c>
      <c r="F35" s="36">
        <f t="shared" si="12"/>
        <v>4.6626000000000001E-2</v>
      </c>
      <c r="G35" s="36">
        <f t="shared" si="12"/>
        <v>7.1399999999999991E-2</v>
      </c>
      <c r="H35" s="36">
        <f t="shared" si="12"/>
        <v>3.78E-2</v>
      </c>
      <c r="I35" s="36">
        <f t="shared" si="12"/>
        <v>6.1032000000000003E-2</v>
      </c>
      <c r="J35" s="36">
        <f t="shared" si="12"/>
        <v>3.2400000000000005E-2</v>
      </c>
      <c r="K35" s="36">
        <f t="shared" si="12"/>
        <v>6.0388000000000004E-2</v>
      </c>
      <c r="M35" s="25" t="s">
        <v>19</v>
      </c>
      <c r="N35" s="4">
        <f t="shared" si="3"/>
        <v>6.0897564097436109E-2</v>
      </c>
      <c r="O35" s="4">
        <f t="shared" si="4"/>
        <v>7.1397144114235409E-2</v>
      </c>
      <c r="P35" s="4">
        <f t="shared" si="5"/>
        <v>3.7794708740776291E-2</v>
      </c>
      <c r="Q35" s="4">
        <f t="shared" si="6"/>
        <v>6.0385584576616948E-2</v>
      </c>
      <c r="S35" s="38" t="s">
        <v>19</v>
      </c>
      <c r="T35" s="4">
        <v>6.0897564097436095E-2</v>
      </c>
      <c r="U35" s="4">
        <v>7.1397144114235409E-2</v>
      </c>
      <c r="V35" s="4">
        <v>3.7794708740776298E-2</v>
      </c>
      <c r="W35" s="4">
        <v>6.0385584576616941E-2</v>
      </c>
    </row>
    <row r="36" spans="2:44" x14ac:dyDescent="0.35">
      <c r="B36" s="25" t="s">
        <v>20</v>
      </c>
      <c r="C36" s="36">
        <f t="shared" ref="C36:K36" si="13">C21/100</f>
        <v>1.37E-2</v>
      </c>
      <c r="D36" s="36">
        <f t="shared" si="13"/>
        <v>7.3502145650084253E-3</v>
      </c>
      <c r="E36" s="36">
        <f t="shared" si="13"/>
        <v>1.9299999999999998E-2</v>
      </c>
      <c r="F36" s="36">
        <f t="shared" si="13"/>
        <v>1.1807000000000002E-2</v>
      </c>
      <c r="G36" s="36">
        <f t="shared" si="13"/>
        <v>2.0899999999999998E-2</v>
      </c>
      <c r="H36" s="36">
        <f t="shared" si="13"/>
        <v>1.41E-2</v>
      </c>
      <c r="I36" s="36">
        <f t="shared" si="13"/>
        <v>3.2961999999999998E-2</v>
      </c>
      <c r="J36" s="36">
        <f t="shared" si="13"/>
        <v>1.49E-2</v>
      </c>
      <c r="K36" s="36">
        <f t="shared" si="13"/>
        <v>2.5695000000000003E-2</v>
      </c>
      <c r="M36" s="25" t="s">
        <v>20</v>
      </c>
      <c r="N36" s="4">
        <f t="shared" si="3"/>
        <v>1.929922803087877E-2</v>
      </c>
      <c r="O36" s="4">
        <f t="shared" si="4"/>
        <v>2.0899164033438659E-2</v>
      </c>
      <c r="P36" s="4">
        <f t="shared" si="5"/>
        <v>1.4098026276321313E-2</v>
      </c>
      <c r="Q36" s="4">
        <f t="shared" si="6"/>
        <v>2.5693972241110363E-2</v>
      </c>
      <c r="S36" s="38" t="s">
        <v>20</v>
      </c>
      <c r="T36" s="4">
        <v>1.9299228030878759E-2</v>
      </c>
      <c r="U36" s="4">
        <v>2.0899164033438659E-2</v>
      </c>
      <c r="V36" s="4">
        <v>1.4098026276321318E-2</v>
      </c>
      <c r="W36" s="4">
        <v>2.569397224111036E-2</v>
      </c>
    </row>
    <row r="37" spans="2:44" x14ac:dyDescent="0.35">
      <c r="B37" s="25" t="s">
        <v>21</v>
      </c>
      <c r="C37" s="36">
        <f t="shared" ref="C37:K37" si="14">C22/100</f>
        <v>1.3300000000000001E-2</v>
      </c>
      <c r="D37" s="36">
        <f t="shared" si="14"/>
        <v>5.6376257176066367E-3</v>
      </c>
      <c r="E37" s="36">
        <f t="shared" si="14"/>
        <v>1.8100000000000002E-2</v>
      </c>
      <c r="F37" s="36">
        <f t="shared" si="14"/>
        <v>7.8040000000000002E-3</v>
      </c>
      <c r="G37" s="36">
        <f t="shared" si="14"/>
        <v>1.0800000000000001E-2</v>
      </c>
      <c r="H37" s="36">
        <f t="shared" si="14"/>
        <v>8.3999999999999995E-3</v>
      </c>
      <c r="I37" s="36">
        <f t="shared" si="14"/>
        <v>2.8279000000000002E-2</v>
      </c>
      <c r="J37" s="36">
        <f t="shared" si="14"/>
        <v>4.5000000000000005E-3</v>
      </c>
      <c r="K37" s="36">
        <f t="shared" si="14"/>
        <v>1.2397999999999999E-2</v>
      </c>
      <c r="M37" s="25" t="s">
        <v>21</v>
      </c>
      <c r="N37" s="4">
        <f t="shared" si="3"/>
        <v>1.8099276028958847E-2</v>
      </c>
      <c r="O37" s="4">
        <f t="shared" si="4"/>
        <v>1.0799568017279309E-2</v>
      </c>
      <c r="P37" s="4">
        <f t="shared" si="5"/>
        <v>8.3988241646169529E-3</v>
      </c>
      <c r="Q37" s="4">
        <f t="shared" si="6"/>
        <v>1.2397504099836008E-2</v>
      </c>
      <c r="S37" s="38" t="s">
        <v>21</v>
      </c>
      <c r="T37" s="4">
        <v>1.8099276028958843E-2</v>
      </c>
      <c r="U37" s="4">
        <v>1.0799568017279309E-2</v>
      </c>
      <c r="V37" s="4">
        <v>8.3988241646169529E-3</v>
      </c>
      <c r="W37" s="4">
        <v>1.2397504099836006E-2</v>
      </c>
    </row>
    <row r="38" spans="2:44" x14ac:dyDescent="0.35">
      <c r="B38" s="25" t="s">
        <v>22</v>
      </c>
      <c r="C38" s="36">
        <f t="shared" ref="C38:K38" si="15">C23/100</f>
        <v>7.000000000000001E-4</v>
      </c>
      <c r="D38" s="36">
        <f t="shared" si="15"/>
        <v>1.9656017403320296E-3</v>
      </c>
      <c r="E38" s="36">
        <f t="shared" si="15"/>
        <v>1.1000000000000001E-2</v>
      </c>
      <c r="F38" s="36">
        <f t="shared" si="15"/>
        <v>1.3009999999999999E-3</v>
      </c>
      <c r="G38" s="36">
        <f t="shared" si="15"/>
        <v>1.7000000000000001E-3</v>
      </c>
      <c r="H38" s="36">
        <f t="shared" si="15"/>
        <v>6.0000000000000001E-3</v>
      </c>
      <c r="I38" s="36">
        <f t="shared" si="15"/>
        <v>9.3880000000000005E-3</v>
      </c>
      <c r="J38" s="36">
        <f t="shared" si="15"/>
        <v>3.7000000000000002E-3</v>
      </c>
      <c r="K38" s="36">
        <f t="shared" si="15"/>
        <v>3.2990000000000003E-3</v>
      </c>
      <c r="M38" s="25" t="s">
        <v>22</v>
      </c>
      <c r="N38" s="4">
        <f t="shared" si="3"/>
        <v>1.0999560017599301E-2</v>
      </c>
      <c r="O38" s="4">
        <f t="shared" si="4"/>
        <v>1.6999320027198913E-3</v>
      </c>
      <c r="P38" s="4">
        <f t="shared" si="5"/>
        <v>5.9991601175835383E-3</v>
      </c>
      <c r="Q38" s="4">
        <f t="shared" si="6"/>
        <v>3.2988680452781896E-3</v>
      </c>
      <c r="S38" s="38" t="s">
        <v>22</v>
      </c>
      <c r="T38" s="4">
        <v>1.0999560017599296E-2</v>
      </c>
      <c r="U38" s="4">
        <v>1.6999320027198913E-3</v>
      </c>
      <c r="V38" s="4">
        <v>5.9991601175835392E-3</v>
      </c>
      <c r="W38" s="4">
        <v>3.2988680452781891E-3</v>
      </c>
    </row>
    <row r="39" spans="2:44" x14ac:dyDescent="0.35">
      <c r="B39" s="25" t="s">
        <v>23</v>
      </c>
      <c r="C39" s="36">
        <f t="shared" ref="C39:K39" si="16">C24/100</f>
        <v>1E-4</v>
      </c>
      <c r="D39" s="36">
        <f t="shared" si="16"/>
        <v>3.5386314666610368E-4</v>
      </c>
      <c r="E39" s="36">
        <f t="shared" si="16"/>
        <v>5.8999999999999999E-3</v>
      </c>
      <c r="F39" s="36">
        <f t="shared" si="16"/>
        <v>4.0000000000000003E-5</v>
      </c>
      <c r="G39" s="36">
        <f t="shared" si="16"/>
        <v>5.9999999999999995E-4</v>
      </c>
      <c r="H39" s="36">
        <f t="shared" si="16"/>
        <v>5.9999999999999995E-4</v>
      </c>
      <c r="I39" s="36">
        <f t="shared" si="16"/>
        <v>2.2140000000000003E-3</v>
      </c>
      <c r="J39" s="36">
        <f t="shared" si="16"/>
        <v>3.9000000000000003E-3</v>
      </c>
      <c r="K39" s="36">
        <f t="shared" si="16"/>
        <v>4.0000000000000002E-4</v>
      </c>
      <c r="M39" s="25" t="s">
        <v>23</v>
      </c>
      <c r="N39" s="4">
        <f t="shared" si="3"/>
        <v>5.8997640094396236E-3</v>
      </c>
      <c r="O39" s="4">
        <f t="shared" si="4"/>
        <v>5.999760009599615E-4</v>
      </c>
      <c r="P39" s="4">
        <f t="shared" si="5"/>
        <v>5.9991601175835377E-4</v>
      </c>
      <c r="Q39" s="4">
        <f t="shared" si="6"/>
        <v>3.9998400063997449E-4</v>
      </c>
      <c r="S39" s="38" t="s">
        <v>23</v>
      </c>
      <c r="T39" s="4">
        <v>5.8997640094396219E-3</v>
      </c>
      <c r="U39" s="4">
        <v>5.999760009599615E-4</v>
      </c>
      <c r="V39" s="4">
        <v>5.9991601175835387E-4</v>
      </c>
      <c r="W39" s="4">
        <v>3.9998400063997444E-4</v>
      </c>
    </row>
    <row r="40" spans="2:44" x14ac:dyDescent="0.35">
      <c r="B40" s="25" t="s">
        <v>35</v>
      </c>
      <c r="C40" s="36">
        <f>0.004/100</f>
        <v>4.0000000000000003E-5</v>
      </c>
      <c r="D40" s="36">
        <f t="shared" ref="D40:K40" si="17">0.004/100</f>
        <v>4.0000000000000003E-5</v>
      </c>
      <c r="E40" s="36">
        <f t="shared" si="17"/>
        <v>4.0000000000000003E-5</v>
      </c>
      <c r="F40" s="36">
        <f t="shared" si="17"/>
        <v>4.0000000000000003E-5</v>
      </c>
      <c r="G40" s="36">
        <f t="shared" si="17"/>
        <v>4.0000000000000003E-5</v>
      </c>
      <c r="H40" s="36">
        <f t="shared" si="17"/>
        <v>4.0000000000000003E-5</v>
      </c>
      <c r="I40" s="36">
        <f t="shared" si="17"/>
        <v>4.0000000000000003E-5</v>
      </c>
      <c r="J40" s="36">
        <f t="shared" si="17"/>
        <v>4.0000000000000003E-5</v>
      </c>
      <c r="K40" s="36">
        <f t="shared" si="17"/>
        <v>4.0000000000000003E-5</v>
      </c>
      <c r="M40" s="25" t="s">
        <v>35</v>
      </c>
      <c r="N40" s="4">
        <f t="shared" si="3"/>
        <v>3.9998400063997452E-5</v>
      </c>
      <c r="O40" s="4">
        <f t="shared" si="4"/>
        <v>3.9998400063997439E-5</v>
      </c>
      <c r="P40" s="4">
        <f t="shared" si="5"/>
        <v>3.9994400783890257E-5</v>
      </c>
      <c r="Q40" s="4">
        <f t="shared" si="6"/>
        <v>3.9998400063997452E-5</v>
      </c>
      <c r="S40" s="38" t="s">
        <v>16</v>
      </c>
      <c r="T40" s="4">
        <v>0</v>
      </c>
      <c r="U40" s="4">
        <v>8.1396744130234788E-2</v>
      </c>
      <c r="V40" s="4">
        <v>5.349251104845322E-2</v>
      </c>
      <c r="W40" s="4">
        <v>5.3086876524939007E-2</v>
      </c>
    </row>
    <row r="41" spans="2:44" x14ac:dyDescent="0.35">
      <c r="B41" s="42" t="s">
        <v>24</v>
      </c>
      <c r="C41" s="43">
        <f>SUM(C28:C40)</f>
        <v>1.0000400000000003</v>
      </c>
      <c r="D41" s="43">
        <f t="shared" ref="D41:K41" si="18">SUM(D28:D40)</f>
        <v>1.0000399999999992</v>
      </c>
      <c r="E41" s="43">
        <f t="shared" si="18"/>
        <v>1.00004</v>
      </c>
      <c r="F41" s="43">
        <f t="shared" si="18"/>
        <v>1.0000400000000003</v>
      </c>
      <c r="G41" s="43">
        <f t="shared" si="18"/>
        <v>1.0000400000000003</v>
      </c>
      <c r="H41" s="43">
        <f t="shared" si="18"/>
        <v>1.0001399999999998</v>
      </c>
      <c r="I41" s="43">
        <f t="shared" si="18"/>
        <v>1.0000399999999998</v>
      </c>
      <c r="J41" s="43">
        <f t="shared" si="18"/>
        <v>1.00004</v>
      </c>
      <c r="K41" s="43">
        <f t="shared" si="18"/>
        <v>1.0000400000000003</v>
      </c>
      <c r="M41" s="42" t="s">
        <v>24</v>
      </c>
      <c r="N41" s="21">
        <f>SUM(N28:N40)</f>
        <v>1.0000000000000002</v>
      </c>
      <c r="O41" s="21">
        <f>SUM(O28:O40)</f>
        <v>0.99999999999999989</v>
      </c>
      <c r="P41" s="21">
        <f>SUM(P28:P40)</f>
        <v>0.99999999999999967</v>
      </c>
      <c r="Q41" s="21">
        <f>SUM(Q28:Q40)</f>
        <v>1.0000000000000002</v>
      </c>
      <c r="T41" s="4">
        <f>SUM(T28:T40)</f>
        <v>0.99999999999999989</v>
      </c>
      <c r="U41" s="4">
        <f>SUM(U28:U40)</f>
        <v>1</v>
      </c>
      <c r="V41" s="4">
        <f>SUM(V28:V40)</f>
        <v>0.99999999999999978</v>
      </c>
      <c r="W41" s="4">
        <f>SUM(W28:W40)</f>
        <v>1</v>
      </c>
    </row>
    <row r="44" spans="2:44" x14ac:dyDescent="0.35">
      <c r="B44" s="25" t="s">
        <v>37</v>
      </c>
      <c r="C44" s="44" t="s">
        <v>38</v>
      </c>
      <c r="D44" s="44" t="s">
        <v>38</v>
      </c>
      <c r="E44" s="44" t="s">
        <v>39</v>
      </c>
      <c r="F44" s="44" t="s">
        <v>40</v>
      </c>
      <c r="G44" s="44" t="s">
        <v>41</v>
      </c>
      <c r="H44" s="44" t="s">
        <v>42</v>
      </c>
      <c r="I44" s="44" t="s">
        <v>43</v>
      </c>
      <c r="J44" s="44" t="s">
        <v>44</v>
      </c>
      <c r="K44" s="44" t="s">
        <v>39</v>
      </c>
    </row>
    <row r="45" spans="2:44" ht="31" x14ac:dyDescent="0.35">
      <c r="B45" s="25"/>
      <c r="C45" s="44" t="s">
        <v>45</v>
      </c>
      <c r="D45" s="44" t="s">
        <v>46</v>
      </c>
      <c r="E45" s="44" t="s">
        <v>47</v>
      </c>
      <c r="F45" s="44" t="s">
        <v>48</v>
      </c>
      <c r="G45" s="44" t="s">
        <v>49</v>
      </c>
      <c r="H45" s="44" t="s">
        <v>50</v>
      </c>
      <c r="I45" s="44" t="s">
        <v>49</v>
      </c>
      <c r="J45" s="44" t="s">
        <v>51</v>
      </c>
      <c r="K45" s="44" t="s">
        <v>47</v>
      </c>
      <c r="L45" s="2" t="s">
        <v>37</v>
      </c>
      <c r="M45" s="58" t="s">
        <v>52</v>
      </c>
    </row>
    <row r="46" spans="2:44" x14ac:dyDescent="0.35">
      <c r="B46" s="45">
        <v>18</v>
      </c>
      <c r="C46" s="59">
        <v>6240.9558536585355</v>
      </c>
      <c r="D46" s="46">
        <f>C77</f>
        <v>1264.4176559512191</v>
      </c>
      <c r="E46" s="47">
        <v>18707</v>
      </c>
      <c r="F46" s="48">
        <f>1.549*10^7</f>
        <v>15490000</v>
      </c>
      <c r="G46" s="46">
        <v>0.7833</v>
      </c>
      <c r="H46" s="46">
        <f t="shared" ref="H46:H54" si="19">G46*C46</f>
        <v>4888.5407201707312</v>
      </c>
      <c r="I46" s="49">
        <v>1.41E-2</v>
      </c>
      <c r="J46" s="46">
        <f t="shared" ref="J46:J54" si="20">I46*C46</f>
        <v>87.99747753658535</v>
      </c>
      <c r="K46" s="2">
        <v>2482</v>
      </c>
      <c r="L46" s="2" t="s">
        <v>53</v>
      </c>
      <c r="M46" s="60">
        <v>6240.95585365854</v>
      </c>
      <c r="N46" s="61">
        <f>M46+1000000</f>
        <v>1006240.9558536585</v>
      </c>
      <c r="O46" s="21">
        <v>5236862.715068493</v>
      </c>
    </row>
    <row r="47" spans="2:44" x14ac:dyDescent="0.35">
      <c r="B47" s="45">
        <v>12</v>
      </c>
      <c r="C47" s="59">
        <v>4381.1536585365802</v>
      </c>
      <c r="D47" s="46">
        <f>D77</f>
        <v>1893.4296391278688</v>
      </c>
      <c r="E47" s="47">
        <v>18168</v>
      </c>
      <c r="F47" s="48">
        <f>5.943*10^6</f>
        <v>5943000</v>
      </c>
      <c r="G47" s="46">
        <v>0.56758362251679995</v>
      </c>
      <c r="H47" s="46">
        <f t="shared" si="19"/>
        <v>2486.6710643149236</v>
      </c>
      <c r="I47" s="49">
        <v>2.40337403308148E-4</v>
      </c>
      <c r="J47" s="46">
        <f t="shared" si="20"/>
        <v>1.0529550937866743</v>
      </c>
      <c r="K47" s="2">
        <v>1356</v>
      </c>
      <c r="L47" s="2" t="s">
        <v>54</v>
      </c>
      <c r="M47" s="60">
        <v>4381.1536585365802</v>
      </c>
      <c r="O47" s="61">
        <f>O46-N46</f>
        <v>4230621.7592148343</v>
      </c>
    </row>
    <row r="48" spans="2:44" s="50" customFormat="1" x14ac:dyDescent="0.35">
      <c r="B48" s="45">
        <v>43</v>
      </c>
      <c r="C48" s="59">
        <v>2053.7357343749995</v>
      </c>
      <c r="D48" s="46">
        <f>E77</f>
        <v>1966.6573392374994</v>
      </c>
      <c r="E48" s="47">
        <v>19298</v>
      </c>
      <c r="F48" s="48">
        <f>3.202*10^6</f>
        <v>3202000</v>
      </c>
      <c r="G48" s="46">
        <v>4.24E-2</v>
      </c>
      <c r="H48" s="46">
        <f t="shared" si="19"/>
        <v>87.078395137499982</v>
      </c>
      <c r="I48" s="49">
        <v>0</v>
      </c>
      <c r="J48" s="46">
        <f t="shared" si="20"/>
        <v>0</v>
      </c>
      <c r="K48" s="2">
        <v>1559</v>
      </c>
      <c r="L48" s="2" t="s">
        <v>55</v>
      </c>
      <c r="M48" s="60">
        <v>2053.7357343749995</v>
      </c>
      <c r="N48" s="21"/>
      <c r="O48" s="61">
        <f>O47-N46</f>
        <v>3224380.8033611756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</row>
    <row r="49" spans="2:15" x14ac:dyDescent="0.35">
      <c r="B49" s="45">
        <v>56</v>
      </c>
      <c r="C49" s="59">
        <v>1003.2998048780501</v>
      </c>
      <c r="D49" s="46">
        <f>F77</f>
        <v>735.66958192683012</v>
      </c>
      <c r="E49" s="47">
        <v>19171</v>
      </c>
      <c r="F49" s="48">
        <f>1.477*10^6</f>
        <v>1477000</v>
      </c>
      <c r="G49" s="46">
        <v>0.165493</v>
      </c>
      <c r="H49" s="46">
        <f t="shared" si="19"/>
        <v>166.03909460868314</v>
      </c>
      <c r="I49" s="49">
        <v>0.101257</v>
      </c>
      <c r="J49" s="46">
        <f t="shared" si="20"/>
        <v>101.59112834253672</v>
      </c>
      <c r="K49" s="2">
        <v>1472</v>
      </c>
      <c r="L49" s="2" t="s">
        <v>56</v>
      </c>
      <c r="M49" s="60">
        <v>1003.2998048780488</v>
      </c>
      <c r="O49" s="61">
        <f>O48-N46</f>
        <v>2218139.8475075169</v>
      </c>
    </row>
    <row r="50" spans="2:15" x14ac:dyDescent="0.35">
      <c r="B50" s="40">
        <v>60</v>
      </c>
      <c r="C50" s="47">
        <v>18696.640865853657</v>
      </c>
      <c r="D50" s="51">
        <f>G77</f>
        <v>13575.63093269634</v>
      </c>
      <c r="E50" s="47">
        <v>19369</v>
      </c>
      <c r="F50" s="52">
        <f>3.442*10^7</f>
        <v>34420000</v>
      </c>
      <c r="G50" s="51">
        <v>0.1925</v>
      </c>
      <c r="H50" s="46">
        <f t="shared" si="19"/>
        <v>3599.103366676829</v>
      </c>
      <c r="I50" s="53">
        <v>8.14E-2</v>
      </c>
      <c r="J50" s="46">
        <f t="shared" si="20"/>
        <v>1521.9065664804878</v>
      </c>
      <c r="K50" s="2">
        <v>1841</v>
      </c>
      <c r="L50" s="2" t="s">
        <v>57</v>
      </c>
      <c r="M50" s="60">
        <v>18696.640865853657</v>
      </c>
    </row>
    <row r="51" spans="2:15" x14ac:dyDescent="0.35">
      <c r="B51" s="45">
        <v>61</v>
      </c>
      <c r="C51" s="59">
        <v>9806.8427926829263</v>
      </c>
      <c r="D51" s="46">
        <f>H77</f>
        <v>8581.9681278768276</v>
      </c>
      <c r="E51" s="47">
        <v>19314</v>
      </c>
      <c r="F51" s="48">
        <f>1.355*10^7</f>
        <v>13550000</v>
      </c>
      <c r="G51" s="46">
        <v>7.1500000000000008E-2</v>
      </c>
      <c r="H51" s="46">
        <f t="shared" si="19"/>
        <v>701.18925967682935</v>
      </c>
      <c r="I51" s="49">
        <v>5.3499999999999999E-2</v>
      </c>
      <c r="J51" s="46">
        <f t="shared" si="20"/>
        <v>524.66608940853655</v>
      </c>
      <c r="K51" s="2">
        <v>1381</v>
      </c>
      <c r="L51" s="2" t="s">
        <v>58</v>
      </c>
      <c r="M51" s="60">
        <v>9806.8427926829263</v>
      </c>
    </row>
    <row r="52" spans="2:15" x14ac:dyDescent="0.35">
      <c r="B52" s="45">
        <v>7</v>
      </c>
      <c r="C52" s="59">
        <v>704.69507317073203</v>
      </c>
      <c r="D52" s="46">
        <f>I77</f>
        <v>608.34845807175634</v>
      </c>
      <c r="E52" s="47">
        <v>18330</v>
      </c>
      <c r="F52" s="48">
        <f>1.134*10^6</f>
        <v>1134000</v>
      </c>
      <c r="G52" s="46">
        <v>0.11818300000000001</v>
      </c>
      <c r="H52" s="46">
        <f t="shared" si="19"/>
        <v>83.282977832536631</v>
      </c>
      <c r="I52" s="49">
        <v>1.8537999999999999E-2</v>
      </c>
      <c r="J52" s="46">
        <f t="shared" si="20"/>
        <v>13.063637266439029</v>
      </c>
      <c r="K52" s="2">
        <v>1610</v>
      </c>
      <c r="L52" s="2" t="s">
        <v>59</v>
      </c>
      <c r="M52" s="60">
        <v>704.69507317073203</v>
      </c>
    </row>
    <row r="53" spans="2:15" x14ac:dyDescent="0.35">
      <c r="B53" s="45">
        <v>15</v>
      </c>
      <c r="C53" s="59">
        <v>3459.7911341463418</v>
      </c>
      <c r="D53" s="46">
        <f>J77</f>
        <v>2216.6881796475614</v>
      </c>
      <c r="E53" s="47">
        <v>19085</v>
      </c>
      <c r="F53" s="48">
        <f>5.023*10^6</f>
        <v>5023000</v>
      </c>
      <c r="G53" s="46">
        <v>0.3528</v>
      </c>
      <c r="H53" s="46">
        <f t="shared" si="19"/>
        <v>1220.6143121268294</v>
      </c>
      <c r="I53" s="49">
        <v>6.5000000000000006E-3</v>
      </c>
      <c r="J53" s="46">
        <f t="shared" si="20"/>
        <v>22.488642371951222</v>
      </c>
      <c r="K53" s="2">
        <v>1452</v>
      </c>
      <c r="L53" s="2" t="s">
        <v>60</v>
      </c>
      <c r="M53" s="60">
        <v>3459.7911341463418</v>
      </c>
    </row>
    <row r="54" spans="2:15" x14ac:dyDescent="0.35">
      <c r="B54" s="45">
        <v>57</v>
      </c>
      <c r="C54" s="59">
        <v>29240.515256097562</v>
      </c>
      <c r="D54" s="46">
        <f>K77</f>
        <v>21312.095746982988</v>
      </c>
      <c r="E54" s="47">
        <v>19466</v>
      </c>
      <c r="F54" s="48">
        <f>4.956*10^7</f>
        <v>49560000.000000007</v>
      </c>
      <c r="G54" s="46">
        <v>0.21805599999999997</v>
      </c>
      <c r="H54" s="46">
        <f t="shared" si="19"/>
        <v>6376.069794683609</v>
      </c>
      <c r="I54" s="49">
        <v>5.3089000000000004E-2</v>
      </c>
      <c r="J54" s="46">
        <f t="shared" si="20"/>
        <v>1552.3497144309636</v>
      </c>
      <c r="K54" s="2">
        <v>1695</v>
      </c>
      <c r="L54" s="2" t="s">
        <v>61</v>
      </c>
      <c r="M54" s="60">
        <v>29240.515256097562</v>
      </c>
    </row>
    <row r="55" spans="2:15" x14ac:dyDescent="0.35">
      <c r="B55" s="25" t="s">
        <v>62</v>
      </c>
      <c r="C55" s="24"/>
      <c r="D55" s="2">
        <f>D48+D50+D51+D54</f>
        <v>45436.352146793652</v>
      </c>
      <c r="E55" s="21" t="s">
        <v>63</v>
      </c>
    </row>
    <row r="56" spans="2:15" x14ac:dyDescent="0.35">
      <c r="B56" s="26"/>
      <c r="C56" s="54"/>
      <c r="L56" s="22">
        <f>8329679000</f>
        <v>8329679000</v>
      </c>
      <c r="M56" s="22">
        <f>L56/28.3168</f>
        <v>294160321.7877726</v>
      </c>
    </row>
    <row r="57" spans="2:15" x14ac:dyDescent="0.35">
      <c r="B57" s="123" t="s">
        <v>64</v>
      </c>
      <c r="C57" s="123"/>
      <c r="D57" s="123"/>
      <c r="E57" s="55"/>
      <c r="F57" s="55"/>
      <c r="L57" s="22">
        <f>273.15+15</f>
        <v>288.14999999999998</v>
      </c>
      <c r="M57" s="22"/>
    </row>
    <row r="58" spans="2:15" x14ac:dyDescent="0.35">
      <c r="B58" s="62" t="s">
        <v>65</v>
      </c>
      <c r="C58" s="62" t="s">
        <v>41</v>
      </c>
      <c r="D58" s="62" t="s">
        <v>43</v>
      </c>
      <c r="L58" s="22">
        <f>(L56*L57)/((C52))</f>
        <v>3406007924.889359</v>
      </c>
      <c r="M58" s="22">
        <f>M56*L57/C52</f>
        <v>120282232.62831105</v>
      </c>
    </row>
    <row r="59" spans="2:15" ht="16" thickBot="1" x14ac:dyDescent="0.4">
      <c r="B59" s="4" t="s">
        <v>66</v>
      </c>
      <c r="C59" s="4" t="s">
        <v>67</v>
      </c>
      <c r="D59" s="4" t="s">
        <v>67</v>
      </c>
      <c r="L59" s="22"/>
      <c r="M59" s="22">
        <f>M58-273.15</f>
        <v>120281959.47831105</v>
      </c>
    </row>
    <row r="60" spans="2:15" ht="16" thickBot="1" x14ac:dyDescent="0.4">
      <c r="B60" s="36">
        <f>3.065*10^-6</f>
        <v>3.0649999999999999E-6</v>
      </c>
      <c r="C60" s="4">
        <f>2/100</f>
        <v>0.02</v>
      </c>
      <c r="D60" s="4">
        <f>4.753*10^-6</f>
        <v>4.7530000000000001E-6</v>
      </c>
      <c r="L60" s="68" t="s">
        <v>68</v>
      </c>
      <c r="M60" s="69">
        <f>25</f>
        <v>25</v>
      </c>
    </row>
    <row r="62" spans="2:15" x14ac:dyDescent="0.35">
      <c r="B62" s="63" t="s">
        <v>34</v>
      </c>
      <c r="C62" s="25" t="s">
        <v>3</v>
      </c>
      <c r="D62" s="25" t="s">
        <v>4</v>
      </c>
      <c r="E62" s="56" t="s">
        <v>5</v>
      </c>
      <c r="F62" s="25" t="s">
        <v>6</v>
      </c>
      <c r="G62" s="25" t="s">
        <v>7</v>
      </c>
      <c r="H62" s="56" t="s">
        <v>69</v>
      </c>
      <c r="I62" s="25" t="s">
        <v>9</v>
      </c>
      <c r="J62" s="25" t="s">
        <v>10</v>
      </c>
      <c r="K62" s="25" t="s">
        <v>11</v>
      </c>
    </row>
    <row r="63" spans="2:15" x14ac:dyDescent="0.35">
      <c r="B63" s="27" t="s">
        <v>12</v>
      </c>
      <c r="C63" s="4">
        <f>$C$46*C28</f>
        <v>113.58539653658535</v>
      </c>
      <c r="D63" s="4">
        <f t="shared" ref="D63:D75" si="21">$C$47*D28</f>
        <v>207.0245091405657</v>
      </c>
      <c r="E63" s="4">
        <f t="shared" ref="E63:E75" si="22">$C$48*E28</f>
        <v>107.41037890781249</v>
      </c>
      <c r="F63" s="4">
        <f t="shared" ref="F63:F75" si="23">$C$49*F28</f>
        <v>45.374233675609815</v>
      </c>
      <c r="G63" s="4">
        <f>$C$50*G28</f>
        <v>437.50139626097553</v>
      </c>
      <c r="H63" s="4">
        <f t="shared" ref="H63:H75" si="24">$C$51*H28</f>
        <v>476.61255972439028</v>
      </c>
      <c r="I63" s="4">
        <f t="shared" ref="I63:I75" si="25">$C$52*I28</f>
        <v>63.521918590682944</v>
      </c>
      <c r="J63" s="4">
        <f t="shared" ref="J63:J75" si="26">$C$53*J28</f>
        <v>145.31122763414638</v>
      </c>
      <c r="K63" s="4">
        <f t="shared" ref="K63:K75" si="27">$C$54*K28</f>
        <v>941.36914815480498</v>
      </c>
      <c r="L63" s="21">
        <v>43</v>
      </c>
    </row>
    <row r="64" spans="2:15" x14ac:dyDescent="0.35">
      <c r="B64" s="57" t="s">
        <v>13</v>
      </c>
      <c r="C64" s="64">
        <f t="shared" ref="C64:C75" si="28">$C$46*C29</f>
        <v>268.361101707317</v>
      </c>
      <c r="D64" s="64">
        <f t="shared" si="21"/>
        <v>1082.8087212641647</v>
      </c>
      <c r="E64" s="64">
        <f t="shared" si="22"/>
        <v>1146.6006605015623</v>
      </c>
      <c r="F64" s="64">
        <f t="shared" si="23"/>
        <v>401.94598102946389</v>
      </c>
      <c r="G64" s="64">
        <f t="shared" ref="G64:G75" si="29">$C$50*G29</f>
        <v>5551.0326730719507</v>
      </c>
      <c r="H64" s="64">
        <f t="shared" si="24"/>
        <v>5507.5229123707313</v>
      </c>
      <c r="I64" s="64">
        <f t="shared" si="25"/>
        <v>333.09174371097572</v>
      </c>
      <c r="J64" s="64">
        <f t="shared" si="26"/>
        <v>1346.5507094097561</v>
      </c>
      <c r="K64" s="64">
        <f t="shared" si="27"/>
        <v>11202.713926461865</v>
      </c>
      <c r="L64" s="21">
        <v>60</v>
      </c>
    </row>
    <row r="65" spans="2:12" x14ac:dyDescent="0.35">
      <c r="B65" s="31" t="s">
        <v>14</v>
      </c>
      <c r="C65" s="65">
        <f t="shared" si="28"/>
        <v>4888.5407201707312</v>
      </c>
      <c r="D65" s="65">
        <f t="shared" si="21"/>
        <v>2486.6710643149213</v>
      </c>
      <c r="E65" s="65">
        <f t="shared" si="22"/>
        <v>87.078395137499982</v>
      </c>
      <c r="F65" s="65">
        <f t="shared" si="23"/>
        <v>166.03909460868314</v>
      </c>
      <c r="G65" s="65">
        <f t="shared" si="29"/>
        <v>3599.103366676829</v>
      </c>
      <c r="H65" s="65">
        <f t="shared" si="24"/>
        <v>701.18925967682935</v>
      </c>
      <c r="I65" s="65">
        <f t="shared" si="25"/>
        <v>83.282977832536631</v>
      </c>
      <c r="J65" s="65">
        <f t="shared" si="26"/>
        <v>1220.6143121268294</v>
      </c>
      <c r="K65" s="65">
        <f t="shared" si="27"/>
        <v>6376.069794683609</v>
      </c>
      <c r="L65" s="21">
        <v>61</v>
      </c>
    </row>
    <row r="66" spans="2:12" x14ac:dyDescent="0.35">
      <c r="B66" s="25" t="s">
        <v>15</v>
      </c>
      <c r="C66" s="4">
        <f t="shared" si="28"/>
        <v>100.47938924390242</v>
      </c>
      <c r="D66" s="4">
        <f t="shared" si="21"/>
        <v>166.45014905853512</v>
      </c>
      <c r="E66" s="4">
        <f t="shared" si="22"/>
        <v>188.73831398906245</v>
      </c>
      <c r="F66" s="4">
        <f t="shared" si="23"/>
        <v>90.04615748780499</v>
      </c>
      <c r="G66" s="4">
        <f t="shared" si="29"/>
        <v>1880.8820711048779</v>
      </c>
      <c r="H66" s="4">
        <f t="shared" si="24"/>
        <v>719.82226098292676</v>
      </c>
      <c r="I66" s="4">
        <f t="shared" si="25"/>
        <v>37.964037676926843</v>
      </c>
      <c r="J66" s="4">
        <f t="shared" si="26"/>
        <v>180.94707631585371</v>
      </c>
      <c r="K66" s="4">
        <f t="shared" si="27"/>
        <v>1897.3293134224025</v>
      </c>
      <c r="L66" s="21">
        <v>57</v>
      </c>
    </row>
    <row r="67" spans="2:12" x14ac:dyDescent="0.35">
      <c r="B67" s="25" t="s">
        <v>16</v>
      </c>
      <c r="C67" s="4">
        <f t="shared" si="28"/>
        <v>87.99747753658535</v>
      </c>
      <c r="D67" s="4">
        <f t="shared" si="21"/>
        <v>1.0529550937866747</v>
      </c>
      <c r="E67" s="4">
        <f t="shared" si="22"/>
        <v>0</v>
      </c>
      <c r="F67" s="4">
        <f t="shared" si="23"/>
        <v>101.59112834253672</v>
      </c>
      <c r="G67" s="4">
        <f t="shared" si="29"/>
        <v>1521.9065664804878</v>
      </c>
      <c r="H67" s="4">
        <f t="shared" si="24"/>
        <v>524.66608940853655</v>
      </c>
      <c r="I67" s="4">
        <f t="shared" si="25"/>
        <v>13.063637266439029</v>
      </c>
      <c r="J67" s="4">
        <f t="shared" si="26"/>
        <v>22.488642371951222</v>
      </c>
      <c r="K67" s="4">
        <f t="shared" si="27"/>
        <v>1552.3497144309636</v>
      </c>
    </row>
    <row r="68" spans="2:12" x14ac:dyDescent="0.35">
      <c r="B68" s="25" t="s">
        <v>36</v>
      </c>
      <c r="C68" s="4">
        <f t="shared" si="28"/>
        <v>310.1755059268292</v>
      </c>
      <c r="D68" s="4">
        <f t="shared" si="21"/>
        <v>233.84962423069226</v>
      </c>
      <c r="E68" s="4">
        <f t="shared" si="22"/>
        <v>233.71512657187498</v>
      </c>
      <c r="F68" s="4">
        <f t="shared" si="23"/>
        <v>114.2397289826343</v>
      </c>
      <c r="G68" s="4">
        <f t="shared" si="29"/>
        <v>3137.2963372902436</v>
      </c>
      <c r="H68" s="4">
        <f t="shared" si="24"/>
        <v>980.6842792682927</v>
      </c>
      <c r="I68" s="4">
        <f t="shared" si="25"/>
        <v>56.367149512780514</v>
      </c>
      <c r="J68" s="4">
        <f t="shared" si="26"/>
        <v>265.02000087560981</v>
      </c>
      <c r="K68" s="4">
        <f t="shared" si="27"/>
        <v>3332.7462073442321</v>
      </c>
    </row>
    <row r="69" spans="2:12" x14ac:dyDescent="0.35">
      <c r="B69" s="25" t="s">
        <v>18</v>
      </c>
      <c r="C69" s="4">
        <f t="shared" si="28"/>
        <v>85.501095195121934</v>
      </c>
      <c r="D69" s="4">
        <f t="shared" si="21"/>
        <v>50.111578884569305</v>
      </c>
      <c r="E69" s="4">
        <f t="shared" si="22"/>
        <v>53.602502667187487</v>
      </c>
      <c r="F69" s="4">
        <f t="shared" si="23"/>
        <v>16.262486537268316</v>
      </c>
      <c r="G69" s="4">
        <f t="shared" si="29"/>
        <v>598.29250770731699</v>
      </c>
      <c r="H69" s="4">
        <f t="shared" si="24"/>
        <v>241.24833269999999</v>
      </c>
      <c r="I69" s="4">
        <f t="shared" si="25"/>
        <v>23.062555659658546</v>
      </c>
      <c r="J69" s="4">
        <f t="shared" si="26"/>
        <v>73.347572043902446</v>
      </c>
      <c r="K69" s="4">
        <f t="shared" si="27"/>
        <v>950.14130273163425</v>
      </c>
    </row>
    <row r="70" spans="2:12" x14ac:dyDescent="0.35">
      <c r="B70" s="25" t="s">
        <v>19</v>
      </c>
      <c r="C70" s="4">
        <f t="shared" si="28"/>
        <v>212.81659460975604</v>
      </c>
      <c r="D70" s="4">
        <f t="shared" si="21"/>
        <v>86.121400503154987</v>
      </c>
      <c r="E70" s="4">
        <f t="shared" si="22"/>
        <v>125.07250622343746</v>
      </c>
      <c r="F70" s="4">
        <f t="shared" si="23"/>
        <v>46.779856702243961</v>
      </c>
      <c r="G70" s="4">
        <f t="shared" si="29"/>
        <v>1334.9401578219508</v>
      </c>
      <c r="H70" s="4">
        <f t="shared" si="24"/>
        <v>370.6986575634146</v>
      </c>
      <c r="I70" s="4">
        <f t="shared" si="25"/>
        <v>43.008949705756116</v>
      </c>
      <c r="J70" s="4">
        <f t="shared" si="26"/>
        <v>112.09723274634149</v>
      </c>
      <c r="K70" s="4">
        <f t="shared" si="27"/>
        <v>1765.7762352852196</v>
      </c>
    </row>
    <row r="71" spans="2:12" x14ac:dyDescent="0.35">
      <c r="B71" s="25" t="s">
        <v>20</v>
      </c>
      <c r="C71" s="4">
        <f t="shared" si="28"/>
        <v>85.501095195121934</v>
      </c>
      <c r="D71" s="4">
        <f t="shared" si="21"/>
        <v>32.202419432515519</v>
      </c>
      <c r="E71" s="4">
        <f t="shared" si="22"/>
        <v>39.63709967343749</v>
      </c>
      <c r="F71" s="4">
        <f t="shared" si="23"/>
        <v>11.845960796195138</v>
      </c>
      <c r="G71" s="4">
        <f t="shared" si="29"/>
        <v>390.75979409634141</v>
      </c>
      <c r="H71" s="4">
        <f t="shared" si="24"/>
        <v>138.27648337682925</v>
      </c>
      <c r="I71" s="4">
        <f t="shared" si="25"/>
        <v>23.228159001853669</v>
      </c>
      <c r="J71" s="4">
        <f t="shared" si="26"/>
        <v>51.550887898780495</v>
      </c>
      <c r="K71" s="4">
        <f t="shared" si="27"/>
        <v>751.33503950542695</v>
      </c>
    </row>
    <row r="72" spans="2:12" x14ac:dyDescent="0.35">
      <c r="B72" s="25" t="s">
        <v>21</v>
      </c>
      <c r="C72" s="4">
        <f t="shared" si="28"/>
        <v>83.004712853658532</v>
      </c>
      <c r="D72" s="4">
        <f t="shared" si="21"/>
        <v>24.69930453815223</v>
      </c>
      <c r="E72" s="4">
        <f t="shared" si="22"/>
        <v>37.172616792187497</v>
      </c>
      <c r="F72" s="4">
        <f t="shared" si="23"/>
        <v>7.8297516772683027</v>
      </c>
      <c r="G72" s="4">
        <f t="shared" si="29"/>
        <v>201.92372135121951</v>
      </c>
      <c r="H72" s="4">
        <f t="shared" si="24"/>
        <v>82.37747945853657</v>
      </c>
      <c r="I72" s="4">
        <f t="shared" si="25"/>
        <v>19.928071974195131</v>
      </c>
      <c r="J72" s="4">
        <f t="shared" si="26"/>
        <v>15.56906010365854</v>
      </c>
      <c r="K72" s="4">
        <f t="shared" si="27"/>
        <v>362.52390814509755</v>
      </c>
    </row>
    <row r="73" spans="2:12" x14ac:dyDescent="0.35">
      <c r="B73" s="25" t="s">
        <v>22</v>
      </c>
      <c r="C73" s="4">
        <f t="shared" si="28"/>
        <v>4.3686690975609759</v>
      </c>
      <c r="D73" s="4">
        <f t="shared" si="21"/>
        <v>8.6116032558815405</v>
      </c>
      <c r="E73" s="4">
        <f t="shared" si="22"/>
        <v>22.591093078124999</v>
      </c>
      <c r="F73" s="4">
        <f t="shared" si="23"/>
        <v>1.305293046146343</v>
      </c>
      <c r="G73" s="4">
        <f t="shared" si="29"/>
        <v>31.784289471951219</v>
      </c>
      <c r="H73" s="4">
        <f t="shared" si="24"/>
        <v>58.841056756097558</v>
      </c>
      <c r="I73" s="4">
        <f t="shared" si="25"/>
        <v>6.6156773469268328</v>
      </c>
      <c r="J73" s="4">
        <f t="shared" si="26"/>
        <v>12.801227196341465</v>
      </c>
      <c r="K73" s="4">
        <f t="shared" si="27"/>
        <v>96.464459829865859</v>
      </c>
    </row>
    <row r="74" spans="2:12" x14ac:dyDescent="0.35">
      <c r="B74" s="25" t="s">
        <v>23</v>
      </c>
      <c r="C74" s="4">
        <f t="shared" si="28"/>
        <v>0.62409558536585363</v>
      </c>
      <c r="D74" s="4">
        <f t="shared" si="21"/>
        <v>1.5503288196374667</v>
      </c>
      <c r="E74" s="4">
        <f t="shared" si="22"/>
        <v>12.117040832812497</v>
      </c>
      <c r="F74" s="4">
        <f t="shared" si="23"/>
        <v>4.0131992195122007E-2</v>
      </c>
      <c r="G74" s="4">
        <f t="shared" si="29"/>
        <v>11.217984519512193</v>
      </c>
      <c r="H74" s="4">
        <f t="shared" si="24"/>
        <v>5.8841056756097556</v>
      </c>
      <c r="I74" s="4">
        <f t="shared" si="25"/>
        <v>1.5601948920000008</v>
      </c>
      <c r="J74" s="4">
        <f t="shared" si="26"/>
        <v>13.493185423170734</v>
      </c>
      <c r="K74" s="4">
        <f t="shared" si="27"/>
        <v>11.696206102439026</v>
      </c>
    </row>
    <row r="75" spans="2:12" x14ac:dyDescent="0.35">
      <c r="B75" s="25" t="s">
        <v>35</v>
      </c>
      <c r="C75" s="4">
        <f t="shared" si="28"/>
        <v>0.24963823414634145</v>
      </c>
      <c r="D75" s="4">
        <f t="shared" si="21"/>
        <v>0.17524614634146321</v>
      </c>
      <c r="E75" s="4">
        <f t="shared" si="22"/>
        <v>8.2149429374999985E-2</v>
      </c>
      <c r="F75" s="4">
        <f t="shared" si="23"/>
        <v>4.0131992195122007E-2</v>
      </c>
      <c r="G75" s="4">
        <f t="shared" si="29"/>
        <v>0.74786563463414635</v>
      </c>
      <c r="H75" s="4">
        <f t="shared" si="24"/>
        <v>0.39227371170731706</v>
      </c>
      <c r="I75" s="4">
        <f t="shared" si="25"/>
        <v>2.8187802926829285E-2</v>
      </c>
      <c r="J75" s="4">
        <f t="shared" si="26"/>
        <v>0.13839164536585369</v>
      </c>
      <c r="K75" s="4">
        <f t="shared" si="27"/>
        <v>1.1696206102439026</v>
      </c>
    </row>
    <row r="76" spans="2:12" x14ac:dyDescent="0.35">
      <c r="B76" s="42" t="s">
        <v>24</v>
      </c>
      <c r="C76" s="66">
        <f>SUM(C63:C75)</f>
        <v>6241.2054918926806</v>
      </c>
      <c r="D76" s="66">
        <f t="shared" ref="D76:K76" si="30">SUM(D63:D75)</f>
        <v>4381.3289046829186</v>
      </c>
      <c r="E76" s="66">
        <f t="shared" si="30"/>
        <v>2053.8178838043741</v>
      </c>
      <c r="F76" s="66">
        <f t="shared" si="30"/>
        <v>1003.3399368702452</v>
      </c>
      <c r="G76" s="66">
        <f t="shared" si="30"/>
        <v>18697.388731488292</v>
      </c>
      <c r="H76" s="66">
        <f t="shared" si="30"/>
        <v>9808.2157506739022</v>
      </c>
      <c r="I76" s="66">
        <f t="shared" si="30"/>
        <v>704.72326097365897</v>
      </c>
      <c r="J76" s="66">
        <f t="shared" si="30"/>
        <v>3459.9295257917079</v>
      </c>
      <c r="K76" s="66">
        <f t="shared" si="30"/>
        <v>29241.684876707801</v>
      </c>
    </row>
    <row r="77" spans="2:12" x14ac:dyDescent="0.35">
      <c r="B77" s="22" t="s">
        <v>70</v>
      </c>
      <c r="C77" s="4">
        <f>SUM(C63:C64)+SUM(C68:C74)+C66</f>
        <v>1264.4176559512191</v>
      </c>
      <c r="D77" s="4">
        <f>SUM(D63:D64)+SUM(D68:D74)+D66</f>
        <v>1893.4296391278688</v>
      </c>
      <c r="E77" s="4">
        <f>SUM(E63:E64)+SUM(E68:E74)+E66</f>
        <v>1966.6573392374994</v>
      </c>
      <c r="F77" s="4">
        <f t="shared" ref="F77:K77" si="31">SUM(F63:F64)+SUM(F68:F74)+F66</f>
        <v>735.66958192683012</v>
      </c>
      <c r="G77" s="4">
        <f t="shared" si="31"/>
        <v>13575.63093269634</v>
      </c>
      <c r="H77" s="4">
        <f>SUM(H63:H64)+SUM(H68:H74)+H66</f>
        <v>8581.9681278768276</v>
      </c>
      <c r="I77" s="4">
        <f t="shared" si="31"/>
        <v>608.34845807175634</v>
      </c>
      <c r="J77" s="4">
        <f>SUM(J63:J64)+SUM(J68:J74)+J66</f>
        <v>2216.6881796475614</v>
      </c>
      <c r="K77" s="4">
        <f t="shared" si="31"/>
        <v>21312.095746982988</v>
      </c>
    </row>
    <row r="78" spans="2:12" x14ac:dyDescent="0.35">
      <c r="B78" s="22"/>
      <c r="C78" s="22">
        <f>C76</f>
        <v>6241.2054918926806</v>
      </c>
      <c r="D78" s="22">
        <f>D76</f>
        <v>4381.3289046829186</v>
      </c>
      <c r="E78" s="22">
        <f t="shared" ref="E78:K78" si="32">E76</f>
        <v>2053.8178838043741</v>
      </c>
      <c r="F78" s="22">
        <f t="shared" si="32"/>
        <v>1003.3399368702452</v>
      </c>
      <c r="G78" s="22">
        <f t="shared" si="32"/>
        <v>18697.388731488292</v>
      </c>
      <c r="H78" s="22">
        <f t="shared" si="32"/>
        <v>9808.2157506739022</v>
      </c>
      <c r="I78" s="22">
        <f t="shared" si="32"/>
        <v>704.72326097365897</v>
      </c>
      <c r="J78" s="22">
        <f t="shared" si="32"/>
        <v>3459.9295257917079</v>
      </c>
      <c r="K78" s="22">
        <f t="shared" si="32"/>
        <v>29241.684876707801</v>
      </c>
    </row>
    <row r="79" spans="2:12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2:12" x14ac:dyDescent="0.35">
      <c r="B80" s="122" t="s">
        <v>71</v>
      </c>
      <c r="C80" s="122"/>
      <c r="D80" s="22"/>
      <c r="E80" s="22"/>
      <c r="F80" s="22"/>
      <c r="G80" s="22"/>
      <c r="H80" s="22"/>
      <c r="I80" s="22"/>
      <c r="J80" s="22"/>
      <c r="K80" s="22"/>
    </row>
    <row r="81" spans="2:1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2:11" x14ac:dyDescent="0.35">
      <c r="B82" s="67" t="s">
        <v>34</v>
      </c>
      <c r="C82" s="25" t="s">
        <v>3</v>
      </c>
      <c r="D82" s="25" t="s">
        <v>4</v>
      </c>
      <c r="E82" s="56" t="s">
        <v>5</v>
      </c>
      <c r="F82" s="25" t="s">
        <v>6</v>
      </c>
      <c r="G82" s="25" t="s">
        <v>7</v>
      </c>
      <c r="H82" s="56" t="s">
        <v>8</v>
      </c>
      <c r="I82" s="25" t="s">
        <v>9</v>
      </c>
      <c r="J82" s="25" t="s">
        <v>10</v>
      </c>
      <c r="K82" s="25" t="s">
        <v>11</v>
      </c>
    </row>
    <row r="83" spans="2:11" x14ac:dyDescent="0.35">
      <c r="B83" s="27" t="s">
        <v>12</v>
      </c>
      <c r="C83" s="4">
        <f>C63/$C$77</f>
        <v>8.9832181638696953E-2</v>
      </c>
      <c r="D83" s="4">
        <f>D63/$D$77</f>
        <v>0.10933836930741356</v>
      </c>
      <c r="E83" s="4">
        <f>E63/$E$77</f>
        <v>5.4615705931495416E-2</v>
      </c>
      <c r="F83" s="4">
        <f>F63/$F$77</f>
        <v>6.1677463348107746E-2</v>
      </c>
      <c r="G83" s="4">
        <f>G63/$G$77</f>
        <v>3.2226965982647016E-2</v>
      </c>
      <c r="H83" s="4">
        <f>H63/$H$77</f>
        <v>5.553651011312994E-2</v>
      </c>
      <c r="I83" s="4">
        <f>I63/$I$77</f>
        <v>0.10441699612755551</v>
      </c>
      <c r="J83" s="4">
        <f>J63/$J$77</f>
        <v>6.5553301076947096E-2</v>
      </c>
      <c r="K83" s="4">
        <f>K63/$K$77</f>
        <v>4.4170651226924429E-2</v>
      </c>
    </row>
    <row r="84" spans="2:11" x14ac:dyDescent="0.35">
      <c r="B84" s="25" t="s">
        <v>13</v>
      </c>
      <c r="C84" s="4">
        <f>C64/$C$77</f>
        <v>0.21224086870681147</v>
      </c>
      <c r="D84" s="4">
        <f>D64/$D$77</f>
        <v>0.57187692581115213</v>
      </c>
      <c r="E84" s="4">
        <f>E64/$E$77</f>
        <v>0.58302005012531333</v>
      </c>
      <c r="F84" s="4">
        <f>F64/$F$77</f>
        <v>0.5463675417661098</v>
      </c>
      <c r="G84" s="4">
        <f>G64/$G$77</f>
        <v>0.40889684616444016</v>
      </c>
      <c r="H84" s="4">
        <f>H64/$H$77</f>
        <v>0.64175522797394591</v>
      </c>
      <c r="I84" s="4">
        <f>I64/$I$77</f>
        <v>0.54753445873234485</v>
      </c>
      <c r="J84" s="4">
        <f>J64/$J$77</f>
        <v>0.60746058997970964</v>
      </c>
      <c r="K84" s="4">
        <f>K64/$K$77</f>
        <v>0.52565050661654233</v>
      </c>
    </row>
    <row r="85" spans="2:11" x14ac:dyDescent="0.35">
      <c r="B85" s="25" t="s">
        <v>15</v>
      </c>
      <c r="C85" s="4">
        <f>C66/$C$77</f>
        <v>7.946692991115499E-2</v>
      </c>
      <c r="D85" s="4">
        <f>D66/$D$77</f>
        <v>8.7909339549159901E-2</v>
      </c>
      <c r="E85" s="4">
        <f>E66/$E$77</f>
        <v>9.5969089390142023E-2</v>
      </c>
      <c r="F85" s="4">
        <f>F66/$F$77</f>
        <v>0.12240027275826799</v>
      </c>
      <c r="G85" s="4">
        <f>G66/$G$77</f>
        <v>0.13854840931001239</v>
      </c>
      <c r="H85" s="4">
        <f>H66/$H$77</f>
        <v>8.3876128442463727E-2</v>
      </c>
      <c r="I85" s="4">
        <f>I66/$I$77</f>
        <v>6.2405085725472292E-2</v>
      </c>
      <c r="J85" s="4">
        <f>J66/$J$77</f>
        <v>8.1629467769626984E-2</v>
      </c>
      <c r="K85" s="4">
        <f>K66/$K$77</f>
        <v>8.902593794376111E-2</v>
      </c>
    </row>
    <row r="86" spans="2:11" x14ac:dyDescent="0.35">
      <c r="B86" s="25" t="s">
        <v>36</v>
      </c>
      <c r="C86" s="4">
        <f t="shared" ref="C86:C92" si="33">C68/$C$77</f>
        <v>0.24531095755182628</v>
      </c>
      <c r="D86" s="4">
        <f t="shared" ref="D86:D92" si="34">D68/$D$77</f>
        <v>0.12350584325827156</v>
      </c>
      <c r="E86" s="4">
        <f t="shared" ref="E86:E92" si="35">E68/$E$77</f>
        <v>0.1188387635756057</v>
      </c>
      <c r="F86" s="4">
        <f t="shared" ref="F86:F92" si="36">F68/$F$77</f>
        <v>0.15528673712921925</v>
      </c>
      <c r="G86" s="4">
        <f t="shared" ref="G86:G92" si="37">G68/$G$77</f>
        <v>0.23109764495248589</v>
      </c>
      <c r="H86" s="4">
        <f t="shared" ref="H86:H92" si="38">H68/$H$77</f>
        <v>0.11427265455376531</v>
      </c>
      <c r="I86" s="4">
        <f t="shared" ref="I86:I92" si="39">I68/$I$77</f>
        <v>9.2656024298054279E-2</v>
      </c>
      <c r="J86" s="4">
        <f t="shared" ref="J86:J92" si="40">J68/$J$77</f>
        <v>0.11955673482128922</v>
      </c>
      <c r="K86" s="4">
        <f t="shared" ref="K86:K92" si="41">K68/$K$77</f>
        <v>0.15637815477701328</v>
      </c>
    </row>
    <row r="87" spans="2:11" x14ac:dyDescent="0.35">
      <c r="B87" s="25" t="s">
        <v>18</v>
      </c>
      <c r="C87" s="4">
        <f t="shared" si="33"/>
        <v>6.7620927936821326E-2</v>
      </c>
      <c r="D87" s="4">
        <f t="shared" si="34"/>
        <v>2.6466036999215434E-2</v>
      </c>
      <c r="E87" s="4">
        <f t="shared" si="35"/>
        <v>2.7255639097744363E-2</v>
      </c>
      <c r="F87" s="4">
        <f t="shared" si="36"/>
        <v>2.2105693828844194E-2</v>
      </c>
      <c r="G87" s="4">
        <f t="shared" si="37"/>
        <v>4.4071064591654038E-2</v>
      </c>
      <c r="H87" s="4">
        <f t="shared" si="38"/>
        <v>2.8111073020226265E-2</v>
      </c>
      <c r="I87" s="4">
        <f t="shared" si="39"/>
        <v>3.7910107856208713E-2</v>
      </c>
      <c r="J87" s="4">
        <f t="shared" si="40"/>
        <v>3.3088809115030433E-2</v>
      </c>
      <c r="K87" s="4">
        <f t="shared" si="41"/>
        <v>4.4582255729877687E-2</v>
      </c>
    </row>
    <row r="88" spans="2:11" x14ac:dyDescent="0.35">
      <c r="B88" s="25" t="s">
        <v>19</v>
      </c>
      <c r="C88" s="4">
        <f t="shared" si="33"/>
        <v>0.16831194471865746</v>
      </c>
      <c r="D88" s="4">
        <f t="shared" si="34"/>
        <v>4.5484341600791303E-2</v>
      </c>
      <c r="E88" s="4">
        <f t="shared" si="35"/>
        <v>6.3596491228070179E-2</v>
      </c>
      <c r="F88" s="4">
        <f t="shared" si="36"/>
        <v>6.3588135015342662E-2</v>
      </c>
      <c r="G88" s="4">
        <f t="shared" si="37"/>
        <v>9.8333562870128066E-2</v>
      </c>
      <c r="H88" s="4">
        <f t="shared" si="38"/>
        <v>4.3195063421323281E-2</v>
      </c>
      <c r="I88" s="4">
        <f t="shared" si="39"/>
        <v>7.0697885619828579E-2</v>
      </c>
      <c r="J88" s="4">
        <f t="shared" si="40"/>
        <v>5.0569689402216331E-2</v>
      </c>
      <c r="K88" s="4">
        <f t="shared" si="41"/>
        <v>8.285324241447202E-2</v>
      </c>
    </row>
    <row r="89" spans="2:11" x14ac:dyDescent="0.35">
      <c r="B89" s="25" t="s">
        <v>20</v>
      </c>
      <c r="C89" s="4">
        <f t="shared" si="33"/>
        <v>6.7620927936821326E-2</v>
      </c>
      <c r="D89" s="4">
        <f t="shared" si="34"/>
        <v>1.7007455026080743E-2</v>
      </c>
      <c r="E89" s="4">
        <f t="shared" si="35"/>
        <v>2.0154553049289894E-2</v>
      </c>
      <c r="F89" s="4">
        <f t="shared" si="36"/>
        <v>1.6102284350494378E-2</v>
      </c>
      <c r="G89" s="4">
        <f t="shared" si="37"/>
        <v>2.8783914061424044E-2</v>
      </c>
      <c r="H89" s="4">
        <f t="shared" si="38"/>
        <v>1.6112444292080905E-2</v>
      </c>
      <c r="I89" s="4">
        <f t="shared" si="39"/>
        <v>3.8182325760269857E-2</v>
      </c>
      <c r="J89" s="4">
        <f t="shared" si="40"/>
        <v>2.3255813953488372E-2</v>
      </c>
      <c r="K89" s="4">
        <f t="shared" si="41"/>
        <v>3.5253925677946919E-2</v>
      </c>
    </row>
    <row r="90" spans="2:11" x14ac:dyDescent="0.35">
      <c r="B90" s="25" t="s">
        <v>21</v>
      </c>
      <c r="C90" s="4">
        <f t="shared" si="33"/>
        <v>6.5646594274432396E-2</v>
      </c>
      <c r="D90" s="4">
        <f t="shared" si="34"/>
        <v>1.304474379598756E-2</v>
      </c>
      <c r="E90" s="4">
        <f t="shared" si="35"/>
        <v>1.8901420217209697E-2</v>
      </c>
      <c r="F90" s="4">
        <f t="shared" si="36"/>
        <v>1.0643027616774634E-2</v>
      </c>
      <c r="G90" s="4">
        <f t="shared" si="37"/>
        <v>1.4873984299683242E-2</v>
      </c>
      <c r="H90" s="4">
        <f t="shared" si="38"/>
        <v>9.5989029825162848E-3</v>
      </c>
      <c r="I90" s="4">
        <f t="shared" si="39"/>
        <v>3.2757660038064171E-2</v>
      </c>
      <c r="J90" s="4">
        <f t="shared" si="40"/>
        <v>7.0235679725300457E-3</v>
      </c>
      <c r="K90" s="4">
        <f t="shared" si="41"/>
        <v>1.7010242092048485E-2</v>
      </c>
    </row>
    <row r="91" spans="2:11" x14ac:dyDescent="0.35">
      <c r="B91" s="25" t="s">
        <v>22</v>
      </c>
      <c r="C91" s="4">
        <f t="shared" si="33"/>
        <v>3.4550839091806529E-3</v>
      </c>
      <c r="D91" s="4">
        <f t="shared" si="34"/>
        <v>4.5481506563128087E-3</v>
      </c>
      <c r="E91" s="4">
        <f t="shared" si="35"/>
        <v>1.1487050960735174E-2</v>
      </c>
      <c r="F91" s="4">
        <f t="shared" si="36"/>
        <v>1.774292533242414E-3</v>
      </c>
      <c r="G91" s="4">
        <f t="shared" si="37"/>
        <v>2.3412753064316213E-3</v>
      </c>
      <c r="H91" s="4">
        <f t="shared" si="38"/>
        <v>6.8563592732259178E-3</v>
      </c>
      <c r="I91" s="4">
        <f t="shared" si="39"/>
        <v>1.0874815673727731E-2</v>
      </c>
      <c r="J91" s="4">
        <f t="shared" si="40"/>
        <v>5.7749336663024814E-3</v>
      </c>
      <c r="K91" s="4">
        <f t="shared" si="41"/>
        <v>4.5262775174760416E-3</v>
      </c>
    </row>
    <row r="92" spans="2:11" x14ac:dyDescent="0.35">
      <c r="B92" s="25" t="s">
        <v>23</v>
      </c>
      <c r="C92" s="4">
        <f t="shared" si="33"/>
        <v>4.9358341559723612E-4</v>
      </c>
      <c r="D92" s="4">
        <f t="shared" si="34"/>
        <v>8.1879399561504836E-4</v>
      </c>
      <c r="E92" s="4">
        <f t="shared" si="35"/>
        <v>6.1612364243943197E-3</v>
      </c>
      <c r="F92" s="4">
        <f t="shared" si="36"/>
        <v>5.455165359699967E-5</v>
      </c>
      <c r="G92" s="4">
        <f t="shared" si="37"/>
        <v>8.2633246109351324E-4</v>
      </c>
      <c r="H92" s="4">
        <f t="shared" si="38"/>
        <v>6.8563592732259174E-4</v>
      </c>
      <c r="I92" s="4">
        <f t="shared" si="39"/>
        <v>2.5646401684739236E-3</v>
      </c>
      <c r="J92" s="4">
        <f t="shared" si="40"/>
        <v>6.0870922428593729E-3</v>
      </c>
      <c r="K92" s="4">
        <f t="shared" si="41"/>
        <v>5.4880600393768318E-4</v>
      </c>
    </row>
    <row r="93" spans="2:11" x14ac:dyDescent="0.35">
      <c r="B93" s="42" t="s">
        <v>24</v>
      </c>
      <c r="C93" s="4">
        <f>SUM(C83:C92)</f>
        <v>1</v>
      </c>
      <c r="D93" s="4">
        <f t="shared" ref="D93:K93" si="42">SUM(D83:D92)</f>
        <v>0.99999999999999989</v>
      </c>
      <c r="E93" s="4">
        <f t="shared" si="42"/>
        <v>1.0000000000000002</v>
      </c>
      <c r="F93" s="4">
        <f t="shared" si="42"/>
        <v>1.0000000000000002</v>
      </c>
      <c r="G93" s="4">
        <f t="shared" si="42"/>
        <v>0.99999999999999978</v>
      </c>
      <c r="H93" s="4">
        <f t="shared" si="42"/>
        <v>1.0000000000000002</v>
      </c>
      <c r="I93" s="4">
        <f t="shared" si="42"/>
        <v>0.99999999999999989</v>
      </c>
      <c r="J93" s="4">
        <f t="shared" si="42"/>
        <v>1</v>
      </c>
      <c r="K93" s="4">
        <f t="shared" si="42"/>
        <v>1</v>
      </c>
    </row>
    <row r="94" spans="2:1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2:11" x14ac:dyDescent="0.35">
      <c r="B95" s="67" t="s">
        <v>34</v>
      </c>
      <c r="C95" s="25" t="s">
        <v>3</v>
      </c>
      <c r="D95" s="25" t="s">
        <v>4</v>
      </c>
      <c r="E95" s="56" t="s">
        <v>5</v>
      </c>
      <c r="F95" s="25" t="s">
        <v>6</v>
      </c>
      <c r="G95" s="25" t="s">
        <v>7</v>
      </c>
      <c r="H95" s="56" t="s">
        <v>8</v>
      </c>
      <c r="I95" s="25" t="s">
        <v>9</v>
      </c>
      <c r="J95" s="25" t="s">
        <v>10</v>
      </c>
      <c r="K95" s="25" t="s">
        <v>11</v>
      </c>
    </row>
    <row r="96" spans="2:11" x14ac:dyDescent="0.35">
      <c r="B96" s="27" t="s">
        <v>12</v>
      </c>
      <c r="C96" s="4">
        <f t="shared" ref="C96:C108" si="43">C63/$C$78</f>
        <v>1.8199272029118838E-2</v>
      </c>
      <c r="D96" s="4">
        <f>D63/$D$78</f>
        <v>4.7251533414734197E-2</v>
      </c>
      <c r="E96" s="4">
        <f>E63/$E$78</f>
        <v>5.2297908083676667E-2</v>
      </c>
      <c r="F96" s="4">
        <f>F63/$F$78</f>
        <v>4.5223191072357109E-2</v>
      </c>
      <c r="G96" s="4">
        <f>G63/$G$78</f>
        <v>2.3399064037438497E-2</v>
      </c>
      <c r="H96" s="4">
        <f>H63/$H$78</f>
        <v>4.8593196952426664E-2</v>
      </c>
      <c r="I96" s="4">
        <f>I63/$I$78</f>
        <v>9.01373945042198E-2</v>
      </c>
      <c r="J96" s="4">
        <f>J63/$J$78</f>
        <v>4.1998320067197316E-2</v>
      </c>
      <c r="K96" s="4">
        <f>K63/$K$78</f>
        <v>3.2192712291508351E-2</v>
      </c>
    </row>
    <row r="97" spans="2:11" x14ac:dyDescent="0.35">
      <c r="B97" s="57" t="s">
        <v>13</v>
      </c>
      <c r="C97" s="4">
        <f t="shared" si="43"/>
        <v>4.2998280068797252E-2</v>
      </c>
      <c r="D97" s="4">
        <f t="shared" ref="D97:D108" si="44">D64/$D$78</f>
        <v>0.247141619545344</v>
      </c>
      <c r="E97" s="4">
        <f t="shared" ref="E97:E108" si="45">E64/$E$78</f>
        <v>0.55827766889324437</v>
      </c>
      <c r="F97" s="4">
        <f t="shared" ref="F97:F108" si="46">F64/$F$78</f>
        <v>0.40060797568097273</v>
      </c>
      <c r="G97" s="4">
        <f t="shared" ref="G97:G108" si="47">G64/$G$78</f>
        <v>0.296888124475021</v>
      </c>
      <c r="H97" s="4">
        <f t="shared" ref="H97:H108" si="48">H64/$H$78</f>
        <v>0.56152138700581911</v>
      </c>
      <c r="I97" s="4">
        <f t="shared" ref="I97:I108" si="49">I64/$I$78</f>
        <v>0.47265609375624962</v>
      </c>
      <c r="J97" s="4">
        <f t="shared" ref="J97:J108" si="50">J64/$J$78</f>
        <v>0.38918443262269503</v>
      </c>
      <c r="K97" s="4">
        <f t="shared" ref="K97:K108" si="51">K64/$K$78</f>
        <v>0.38310767569297233</v>
      </c>
    </row>
    <row r="98" spans="2:11" x14ac:dyDescent="0.35">
      <c r="B98" s="31" t="s">
        <v>14</v>
      </c>
      <c r="C98" s="4">
        <f t="shared" si="43"/>
        <v>0.78326866925323013</v>
      </c>
      <c r="D98" s="4">
        <f t="shared" si="44"/>
        <v>0.5675609200799967</v>
      </c>
      <c r="E98" s="4">
        <f t="shared" si="45"/>
        <v>4.2398304067837296E-2</v>
      </c>
      <c r="F98" s="4">
        <f t="shared" si="46"/>
        <v>0.16548638054477821</v>
      </c>
      <c r="G98" s="4">
        <f t="shared" si="47"/>
        <v>0.19249230030798767</v>
      </c>
      <c r="H98" s="4">
        <f t="shared" si="48"/>
        <v>7.1489991401203837E-2</v>
      </c>
      <c r="I98" s="4">
        <f t="shared" si="49"/>
        <v>0.11817827286908524</v>
      </c>
      <c r="J98" s="4">
        <f t="shared" si="50"/>
        <v>0.35278588856445742</v>
      </c>
      <c r="K98" s="4">
        <f t="shared" si="51"/>
        <v>0.21804727810887564</v>
      </c>
    </row>
    <row r="99" spans="2:11" x14ac:dyDescent="0.35">
      <c r="B99" s="25" t="s">
        <v>15</v>
      </c>
      <c r="C99" s="4">
        <f t="shared" si="43"/>
        <v>1.6099356025758974E-2</v>
      </c>
      <c r="D99" s="4">
        <f t="shared" si="44"/>
        <v>3.7990790620769724E-2</v>
      </c>
      <c r="E99" s="4">
        <f t="shared" si="45"/>
        <v>9.1896324147034136E-2</v>
      </c>
      <c r="F99" s="4">
        <f t="shared" si="46"/>
        <v>8.9746410143594246E-2</v>
      </c>
      <c r="G99" s="4">
        <f t="shared" si="47"/>
        <v>0.10059597616095356</v>
      </c>
      <c r="H99" s="4">
        <f t="shared" si="48"/>
        <v>7.3389725438438608E-2</v>
      </c>
      <c r="I99" s="4">
        <f t="shared" si="49"/>
        <v>5.3870845166193337E-2</v>
      </c>
      <c r="J99" s="4">
        <f t="shared" si="50"/>
        <v>5.229790808367666E-2</v>
      </c>
      <c r="K99" s="4">
        <f t="shared" si="51"/>
        <v>6.4884404623815062E-2</v>
      </c>
    </row>
    <row r="100" spans="2:11" x14ac:dyDescent="0.35">
      <c r="B100" s="25" t="s">
        <v>16</v>
      </c>
      <c r="C100" s="4">
        <f t="shared" si="43"/>
        <v>1.40994360225591E-2</v>
      </c>
      <c r="D100" s="4">
        <f t="shared" si="44"/>
        <v>2.4032779019654042E-4</v>
      </c>
      <c r="E100" s="4">
        <f t="shared" si="45"/>
        <v>0</v>
      </c>
      <c r="F100" s="4">
        <f t="shared" si="46"/>
        <v>0.10125294988200473</v>
      </c>
      <c r="G100" s="4">
        <f t="shared" si="47"/>
        <v>8.1396744130234788E-2</v>
      </c>
      <c r="H100" s="4">
        <f t="shared" si="48"/>
        <v>5.3492511048453213E-2</v>
      </c>
      <c r="I100" s="4">
        <f t="shared" si="49"/>
        <v>1.8537258509659611E-2</v>
      </c>
      <c r="J100" s="4">
        <f t="shared" si="50"/>
        <v>6.4997400103995835E-3</v>
      </c>
      <c r="K100" s="4">
        <f t="shared" si="51"/>
        <v>5.3086876524939014E-2</v>
      </c>
    </row>
    <row r="101" spans="2:11" x14ac:dyDescent="0.35">
      <c r="B101" s="25" t="s">
        <v>36</v>
      </c>
      <c r="C101" s="4">
        <f t="shared" si="43"/>
        <v>4.969801207951683E-2</v>
      </c>
      <c r="D101" s="4">
        <f t="shared" si="44"/>
        <v>5.3374131300835584E-2</v>
      </c>
      <c r="E101" s="4">
        <f t="shared" si="45"/>
        <v>0.11379544818207275</v>
      </c>
      <c r="F101" s="4">
        <f t="shared" si="46"/>
        <v>0.11385944562217512</v>
      </c>
      <c r="G101" s="4">
        <f t="shared" si="47"/>
        <v>0.16779328826846926</v>
      </c>
      <c r="H101" s="4">
        <f t="shared" si="48"/>
        <v>9.9986001959725637E-2</v>
      </c>
      <c r="I101" s="4">
        <f t="shared" si="49"/>
        <v>7.9984800607975665E-2</v>
      </c>
      <c r="J101" s="4">
        <f t="shared" si="50"/>
        <v>7.6596936122555095E-2</v>
      </c>
      <c r="K101" s="4">
        <f t="shared" si="51"/>
        <v>0.11397244110235594</v>
      </c>
    </row>
    <row r="102" spans="2:11" x14ac:dyDescent="0.35">
      <c r="B102" s="25" t="s">
        <v>18</v>
      </c>
      <c r="C102" s="4">
        <f t="shared" si="43"/>
        <v>1.3699452021919125E-2</v>
      </c>
      <c r="D102" s="4">
        <f t="shared" si="44"/>
        <v>1.1437529565746202E-2</v>
      </c>
      <c r="E102" s="4">
        <f t="shared" si="45"/>
        <v>2.6098956041758336E-2</v>
      </c>
      <c r="F102" s="4">
        <f t="shared" si="46"/>
        <v>1.6208351665933363E-2</v>
      </c>
      <c r="G102" s="4">
        <f t="shared" si="47"/>
        <v>3.199872005119795E-2</v>
      </c>
      <c r="H102" s="4">
        <f t="shared" si="48"/>
        <v>2.4596556482092507E-2</v>
      </c>
      <c r="I102" s="4">
        <f t="shared" si="49"/>
        <v>3.2725690972361096E-2</v>
      </c>
      <c r="J102" s="4">
        <f t="shared" si="50"/>
        <v>2.1199152033918641E-2</v>
      </c>
      <c r="K102" s="4">
        <f t="shared" si="51"/>
        <v>3.2492700291988329E-2</v>
      </c>
    </row>
    <row r="103" spans="2:11" x14ac:dyDescent="0.35">
      <c r="B103" s="25" t="s">
        <v>19</v>
      </c>
      <c r="C103" s="4">
        <f t="shared" si="43"/>
        <v>3.4098636054557818E-2</v>
      </c>
      <c r="D103" s="4">
        <f t="shared" si="44"/>
        <v>1.9656456380415861E-2</v>
      </c>
      <c r="E103" s="4">
        <f t="shared" si="45"/>
        <v>6.0897564097436109E-2</v>
      </c>
      <c r="F103" s="4">
        <f t="shared" si="46"/>
        <v>4.6624135034598613E-2</v>
      </c>
      <c r="G103" s="4">
        <f t="shared" si="47"/>
        <v>7.1397144114235409E-2</v>
      </c>
      <c r="H103" s="4">
        <f t="shared" si="48"/>
        <v>3.7794708740776291E-2</v>
      </c>
      <c r="I103" s="4">
        <f t="shared" si="49"/>
        <v>6.1029558817647281E-2</v>
      </c>
      <c r="J103" s="4">
        <f t="shared" si="50"/>
        <v>3.239870405183793E-2</v>
      </c>
      <c r="K103" s="4">
        <f t="shared" si="51"/>
        <v>6.0385584576616948E-2</v>
      </c>
    </row>
    <row r="104" spans="2:11" x14ac:dyDescent="0.35">
      <c r="B104" s="25" t="s">
        <v>20</v>
      </c>
      <c r="C104" s="4">
        <f t="shared" si="43"/>
        <v>1.3699452021919125E-2</v>
      </c>
      <c r="D104" s="4">
        <f t="shared" si="44"/>
        <v>7.3499205681857027E-3</v>
      </c>
      <c r="E104" s="4">
        <f t="shared" si="45"/>
        <v>1.929922803087877E-2</v>
      </c>
      <c r="F104" s="4">
        <f t="shared" si="46"/>
        <v>1.1806527738890446E-2</v>
      </c>
      <c r="G104" s="4">
        <f t="shared" si="47"/>
        <v>2.0899164033438659E-2</v>
      </c>
      <c r="H104" s="4">
        <f t="shared" si="48"/>
        <v>1.4098026276321313E-2</v>
      </c>
      <c r="I104" s="4">
        <f t="shared" si="49"/>
        <v>3.2960681572737086E-2</v>
      </c>
      <c r="J104" s="4">
        <f t="shared" si="50"/>
        <v>1.4899404023839047E-2</v>
      </c>
      <c r="K104" s="4">
        <f t="shared" si="51"/>
        <v>2.5693972241110363E-2</v>
      </c>
    </row>
    <row r="105" spans="2:11" x14ac:dyDescent="0.35">
      <c r="B105" s="25" t="s">
        <v>21</v>
      </c>
      <c r="C105" s="4">
        <f t="shared" si="43"/>
        <v>1.3299468021279154E-2</v>
      </c>
      <c r="D105" s="4">
        <f t="shared" si="44"/>
        <v>5.6374002215977765E-3</v>
      </c>
      <c r="E105" s="4">
        <f t="shared" si="45"/>
        <v>1.8099276028958847E-2</v>
      </c>
      <c r="F105" s="4">
        <f t="shared" si="46"/>
        <v>7.8036878524859006E-3</v>
      </c>
      <c r="G105" s="4">
        <f t="shared" si="47"/>
        <v>1.0799568017279309E-2</v>
      </c>
      <c r="H105" s="4">
        <f t="shared" si="48"/>
        <v>8.3988241646169529E-3</v>
      </c>
      <c r="I105" s="4">
        <f t="shared" si="49"/>
        <v>2.8277868885244587E-2</v>
      </c>
      <c r="J105" s="4">
        <f t="shared" si="50"/>
        <v>4.499820007199712E-3</v>
      </c>
      <c r="K105" s="4">
        <f t="shared" si="51"/>
        <v>1.2397504099836008E-2</v>
      </c>
    </row>
    <row r="106" spans="2:11" x14ac:dyDescent="0.35">
      <c r="B106" s="25" t="s">
        <v>22</v>
      </c>
      <c r="C106" s="4">
        <f t="shared" si="43"/>
        <v>6.9997200111995546E-4</v>
      </c>
      <c r="D106" s="4">
        <f t="shared" si="44"/>
        <v>1.9655231194072548E-3</v>
      </c>
      <c r="E106" s="4">
        <f t="shared" si="45"/>
        <v>1.0999560017599301E-2</v>
      </c>
      <c r="F106" s="4">
        <f t="shared" si="46"/>
        <v>1.3009479620815167E-3</v>
      </c>
      <c r="G106" s="4">
        <f t="shared" si="47"/>
        <v>1.6999320027198913E-3</v>
      </c>
      <c r="H106" s="4">
        <f t="shared" si="48"/>
        <v>5.9991601175835383E-3</v>
      </c>
      <c r="I106" s="4">
        <f t="shared" si="49"/>
        <v>9.3876244950201991E-3</v>
      </c>
      <c r="J106" s="4">
        <f t="shared" si="50"/>
        <v>3.6998520059197629E-3</v>
      </c>
      <c r="K106" s="4">
        <f t="shared" si="51"/>
        <v>3.2988680452781896E-3</v>
      </c>
    </row>
    <row r="107" spans="2:11" x14ac:dyDescent="0.35">
      <c r="B107" s="25" t="s">
        <v>23</v>
      </c>
      <c r="C107" s="4">
        <f t="shared" si="43"/>
        <v>9.9996000159993637E-5</v>
      </c>
      <c r="D107" s="4">
        <f t="shared" si="44"/>
        <v>3.5384899270639569E-4</v>
      </c>
      <c r="E107" s="4">
        <f t="shared" si="45"/>
        <v>5.8997640094396236E-3</v>
      </c>
      <c r="F107" s="4">
        <f t="shared" si="46"/>
        <v>3.9998400063997445E-5</v>
      </c>
      <c r="G107" s="4">
        <f t="shared" si="47"/>
        <v>5.999760009599615E-4</v>
      </c>
      <c r="H107" s="4">
        <f t="shared" si="48"/>
        <v>5.9991601175835377E-4</v>
      </c>
      <c r="I107" s="4">
        <f t="shared" si="49"/>
        <v>2.2139114435422583E-3</v>
      </c>
      <c r="J107" s="4">
        <f t="shared" si="50"/>
        <v>3.8998440062397504E-3</v>
      </c>
      <c r="K107" s="4">
        <f t="shared" si="51"/>
        <v>3.9998400063997449E-4</v>
      </c>
    </row>
    <row r="108" spans="2:11" x14ac:dyDescent="0.35">
      <c r="B108" s="25" t="s">
        <v>35</v>
      </c>
      <c r="C108" s="4">
        <f t="shared" si="43"/>
        <v>3.9998400063997452E-5</v>
      </c>
      <c r="D108" s="4">
        <f t="shared" si="44"/>
        <v>3.9998400063997466E-5</v>
      </c>
      <c r="E108" s="4">
        <f t="shared" si="45"/>
        <v>3.9998400063997452E-5</v>
      </c>
      <c r="F108" s="4">
        <f t="shared" si="46"/>
        <v>3.9998400063997445E-5</v>
      </c>
      <c r="G108" s="4">
        <f t="shared" si="47"/>
        <v>3.9998400063997439E-5</v>
      </c>
      <c r="H108" s="4">
        <f t="shared" si="48"/>
        <v>3.9994400783890257E-5</v>
      </c>
      <c r="I108" s="4">
        <f t="shared" si="49"/>
        <v>3.9998400063997439E-5</v>
      </c>
      <c r="J108" s="4">
        <f t="shared" si="50"/>
        <v>3.9998400063997445E-5</v>
      </c>
      <c r="K108" s="4">
        <f t="shared" si="51"/>
        <v>3.9998400063997452E-5</v>
      </c>
    </row>
    <row r="109" spans="2:11" x14ac:dyDescent="0.35">
      <c r="B109" s="42" t="s">
        <v>24</v>
      </c>
      <c r="C109" s="4">
        <f>SUM(C96:C108)</f>
        <v>1.0000000000000004</v>
      </c>
      <c r="D109" s="4">
        <f t="shared" ref="D109:K109" si="52">SUM(D96:D108)</f>
        <v>0.99999999999999989</v>
      </c>
      <c r="E109" s="4">
        <f t="shared" si="52"/>
        <v>1.0000000000000002</v>
      </c>
      <c r="F109" s="4">
        <f t="shared" si="52"/>
        <v>0.99999999999999989</v>
      </c>
      <c r="G109" s="4">
        <f t="shared" si="52"/>
        <v>0.99999999999999989</v>
      </c>
      <c r="H109" s="4">
        <f t="shared" si="52"/>
        <v>0.99999999999999967</v>
      </c>
      <c r="I109" s="4">
        <f t="shared" si="52"/>
        <v>0.99999999999999967</v>
      </c>
      <c r="J109" s="4">
        <f t="shared" si="52"/>
        <v>1</v>
      </c>
      <c r="K109" s="4">
        <f t="shared" si="52"/>
        <v>1.0000000000000002</v>
      </c>
    </row>
  </sheetData>
  <mergeCells count="2">
    <mergeCell ref="B80:C80"/>
    <mergeCell ref="B57:D5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C813-6FE3-4757-8596-330D1C046C0D}">
  <dimension ref="E4:X17"/>
  <sheetViews>
    <sheetView topLeftCell="D1" zoomScale="99" zoomScaleNormal="55" workbookViewId="0">
      <selection activeCell="P14" sqref="P14"/>
    </sheetView>
  </sheetViews>
  <sheetFormatPr baseColWidth="10" defaultColWidth="11.54296875" defaultRowHeight="15.5" x14ac:dyDescent="0.35"/>
  <cols>
    <col min="1" max="7" width="11.54296875" style="21"/>
    <col min="8" max="8" width="13.453125" style="21" customWidth="1"/>
    <col min="9" max="9" width="11.54296875" style="21"/>
    <col min="10" max="10" width="11.7265625" style="21" bestFit="1" customWidth="1"/>
    <col min="11" max="12" width="11.54296875" style="21"/>
    <col min="13" max="14" width="11.7265625" style="21" bestFit="1" customWidth="1"/>
    <col min="15" max="15" width="13.54296875" style="21" bestFit="1" customWidth="1"/>
    <col min="16" max="16" width="11.7265625" style="21" bestFit="1" customWidth="1"/>
    <col min="17" max="17" width="12.1796875" style="21" bestFit="1" customWidth="1"/>
    <col min="18" max="18" width="11.7265625" style="21" bestFit="1" customWidth="1"/>
    <col min="19" max="21" width="11.54296875" style="21"/>
    <col min="22" max="22" width="14.26953125" style="21" bestFit="1" customWidth="1"/>
    <col min="23" max="16384" width="11.54296875" style="21"/>
  </cols>
  <sheetData>
    <row r="4" spans="5:24" ht="16" thickBot="1" x14ac:dyDescent="0.4">
      <c r="V4" s="21">
        <v>5214169.86789547</v>
      </c>
      <c r="X4" s="21">
        <v>10503878.119723599</v>
      </c>
    </row>
    <row r="5" spans="5:24" ht="16" thickBot="1" x14ac:dyDescent="0.4">
      <c r="F5" s="70" t="s">
        <v>72</v>
      </c>
      <c r="G5" s="71" t="s">
        <v>73</v>
      </c>
      <c r="H5" s="72" t="s">
        <v>74</v>
      </c>
      <c r="I5" s="73" t="s">
        <v>75</v>
      </c>
      <c r="J5" s="74" t="s">
        <v>63</v>
      </c>
      <c r="N5" s="70" t="s">
        <v>72</v>
      </c>
      <c r="O5" s="72" t="s">
        <v>74</v>
      </c>
      <c r="P5" s="73" t="s">
        <v>75</v>
      </c>
      <c r="Q5" s="74" t="s">
        <v>63</v>
      </c>
      <c r="R5" s="21" t="s">
        <v>76</v>
      </c>
      <c r="V5" s="21">
        <v>5289708.25182808</v>
      </c>
    </row>
    <row r="6" spans="5:24" ht="16" thickBot="1" x14ac:dyDescent="0.4">
      <c r="E6" s="75">
        <v>35</v>
      </c>
      <c r="F6" s="76">
        <f>1544488.67188843</f>
        <v>1544488.6718884299</v>
      </c>
      <c r="G6" s="77">
        <v>1535.99991704526</v>
      </c>
      <c r="H6" s="2">
        <v>988.1</v>
      </c>
      <c r="I6" s="2">
        <v>3524</v>
      </c>
      <c r="J6" s="4">
        <f>G10</f>
        <v>4512.077004727139</v>
      </c>
      <c r="K6" s="21" t="s">
        <v>77</v>
      </c>
      <c r="M6" s="78">
        <v>35</v>
      </c>
      <c r="N6" s="79">
        <v>6534.2005803945003</v>
      </c>
      <c r="O6" s="2">
        <v>988.1</v>
      </c>
      <c r="P6" s="2">
        <v>3524</v>
      </c>
      <c r="Q6" s="2">
        <f>G10</f>
        <v>4512.077004727139</v>
      </c>
      <c r="R6" s="21">
        <v>2887962.8684290298</v>
      </c>
      <c r="V6" s="21">
        <f>SUM(V4:V5)</f>
        <v>10503878.119723551</v>
      </c>
    </row>
    <row r="7" spans="5:24" ht="16" thickBot="1" x14ac:dyDescent="0.4">
      <c r="E7" s="80">
        <v>26</v>
      </c>
      <c r="F7" s="81">
        <f>948105.404840276</f>
        <v>948105.40484027599</v>
      </c>
      <c r="G7" s="82">
        <v>943.09997816106898</v>
      </c>
      <c r="H7" s="2">
        <f>J7*H6/J6</f>
        <v>993474.50119724963</v>
      </c>
      <c r="I7" s="2">
        <f>J7-H7</f>
        <v>3543144.7191598741</v>
      </c>
      <c r="J7" s="4">
        <f>F10</f>
        <v>4536619.2203571238</v>
      </c>
      <c r="K7" s="21" t="s">
        <v>78</v>
      </c>
      <c r="M7" s="83">
        <v>26</v>
      </c>
      <c r="N7" s="84">
        <v>4009.9822887947698</v>
      </c>
      <c r="O7" s="85">
        <f>Q7*O6/Q6</f>
        <v>4202.5554799551273</v>
      </c>
      <c r="P7" s="85">
        <f>Q7-O7</f>
        <v>14988.066868183272</v>
      </c>
      <c r="Q7" s="86">
        <f>N10</f>
        <v>19190.6223481384</v>
      </c>
      <c r="R7" s="87">
        <f>Q7*R6/Q6</f>
        <v>12282991.780815046</v>
      </c>
      <c r="V7" s="21">
        <f>X4-V6</f>
        <v>4.8428773880004883E-8</v>
      </c>
    </row>
    <row r="8" spans="5:24" ht="16" thickBot="1" x14ac:dyDescent="0.4">
      <c r="E8" s="88">
        <v>23</v>
      </c>
      <c r="F8" s="2">
        <v>1299969.39351493</v>
      </c>
      <c r="G8" s="89">
        <v>1292.97710952081</v>
      </c>
      <c r="M8" s="83">
        <v>23</v>
      </c>
      <c r="N8" s="79">
        <v>5498.96519271529</v>
      </c>
    </row>
    <row r="9" spans="5:24" ht="16" thickBot="1" x14ac:dyDescent="0.4">
      <c r="E9" s="90">
        <v>17</v>
      </c>
      <c r="F9" s="76">
        <v>744055.75011348794</v>
      </c>
      <c r="G9" s="91">
        <v>740</v>
      </c>
      <c r="H9" s="92"/>
      <c r="I9" s="92"/>
      <c r="J9" s="92"/>
      <c r="K9" s="92"/>
      <c r="L9" s="92"/>
      <c r="M9" s="79">
        <v>17</v>
      </c>
      <c r="N9" s="79">
        <v>3147.4742862338398</v>
      </c>
      <c r="P9" s="21">
        <v>740</v>
      </c>
    </row>
    <row r="10" spans="5:24" ht="16" thickBot="1" x14ac:dyDescent="0.4">
      <c r="E10" s="93" t="s">
        <v>63</v>
      </c>
      <c r="F10" s="94">
        <f>SUM(F6:F9)</f>
        <v>4536619.2203571238</v>
      </c>
      <c r="G10" s="95">
        <f>SUM(G6:G9)</f>
        <v>4512.077004727139</v>
      </c>
      <c r="M10" s="93" t="s">
        <v>63</v>
      </c>
      <c r="N10" s="94">
        <f>SUM(N6:N9)</f>
        <v>19190.6223481384</v>
      </c>
    </row>
    <row r="11" spans="5:24" x14ac:dyDescent="0.35">
      <c r="G11" s="96">
        <f>H6+I6</f>
        <v>4512.1000000000004</v>
      </c>
      <c r="H11" s="21">
        <f>I6/G10</f>
        <v>0.78101503948359774</v>
      </c>
      <c r="I11" s="21">
        <f>I7/F10</f>
        <v>0.78100994310052696</v>
      </c>
    </row>
    <row r="13" spans="5:24" x14ac:dyDescent="0.35">
      <c r="G13" s="21">
        <f>992899.999984197</f>
        <v>992899.99998419697</v>
      </c>
      <c r="N13" s="21">
        <v>1364.80560138945</v>
      </c>
    </row>
    <row r="14" spans="5:24" x14ac:dyDescent="0.35">
      <c r="G14" s="21">
        <v>954574</v>
      </c>
      <c r="H14" s="21">
        <f>G13-G14</f>
        <v>38325.999984196969</v>
      </c>
      <c r="N14" s="21">
        <v>0.96666468012760298</v>
      </c>
      <c r="P14" s="21">
        <v>19228.57143</v>
      </c>
      <c r="Q14" s="21">
        <f>P14/0.97</f>
        <v>19823.269515463919</v>
      </c>
    </row>
    <row r="15" spans="5:24" x14ac:dyDescent="0.35">
      <c r="F15" s="21">
        <v>4545590.4759999998</v>
      </c>
      <c r="P15" s="21">
        <v>12800</v>
      </c>
    </row>
    <row r="16" spans="5:24" x14ac:dyDescent="0.35">
      <c r="F16" s="21">
        <v>954574</v>
      </c>
      <c r="H16" s="21" t="s">
        <v>79</v>
      </c>
    </row>
    <row r="17" spans="6:6" x14ac:dyDescent="0.35">
      <c r="F17" s="21" t="s">
        <v>80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4FFA-3D04-4F3B-A43B-FDF2560B93FA}">
  <dimension ref="B2:M24"/>
  <sheetViews>
    <sheetView zoomScale="70" zoomScaleNormal="70" workbookViewId="0">
      <selection activeCell="A2" sqref="A2"/>
    </sheetView>
  </sheetViews>
  <sheetFormatPr baseColWidth="10" defaultColWidth="11.54296875" defaultRowHeight="15.5" x14ac:dyDescent="0.35"/>
  <cols>
    <col min="1" max="1" width="11.54296875" style="21"/>
    <col min="2" max="2" width="19.7265625" style="21" customWidth="1"/>
    <col min="3" max="3" width="14.7265625" style="21" customWidth="1"/>
    <col min="4" max="4" width="15.453125" style="21" customWidth="1"/>
    <col min="5" max="5" width="11.54296875" style="21"/>
    <col min="6" max="6" width="13.81640625" style="21" customWidth="1"/>
    <col min="7" max="7" width="19" style="21" bestFit="1" customWidth="1"/>
    <col min="8" max="8" width="16.1796875" style="21" bestFit="1" customWidth="1"/>
    <col min="9" max="16384" width="11.54296875" style="21"/>
  </cols>
  <sheetData>
    <row r="2" spans="2:13" x14ac:dyDescent="0.35">
      <c r="G2" s="124" t="s">
        <v>81</v>
      </c>
      <c r="H2" s="124"/>
      <c r="I2" s="124" t="s">
        <v>82</v>
      </c>
      <c r="J2" s="124"/>
      <c r="K2" s="124"/>
      <c r="L2" s="124"/>
    </row>
    <row r="3" spans="2:13" x14ac:dyDescent="0.35">
      <c r="B3" s="97" t="s">
        <v>34</v>
      </c>
      <c r="C3" s="62" t="s">
        <v>5</v>
      </c>
      <c r="D3" s="62" t="s">
        <v>7</v>
      </c>
      <c r="E3" s="62" t="s">
        <v>8</v>
      </c>
      <c r="F3" s="62" t="s">
        <v>11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87</v>
      </c>
      <c r="L3" s="1" t="s">
        <v>88</v>
      </c>
    </row>
    <row r="4" spans="2:13" x14ac:dyDescent="0.35">
      <c r="B4" s="27" t="s">
        <v>12</v>
      </c>
      <c r="C4" s="4">
        <v>5.4615705931495416E-2</v>
      </c>
      <c r="D4" s="4">
        <v>4.348862147027284E-2</v>
      </c>
      <c r="E4" s="4">
        <v>5.5536510113129933E-2</v>
      </c>
      <c r="F4" s="4">
        <v>4.4170651226924422E-2</v>
      </c>
      <c r="G4" s="2" t="s">
        <v>89</v>
      </c>
      <c r="H4" s="3">
        <v>1.59543702550205E-3</v>
      </c>
      <c r="I4" s="4">
        <v>0</v>
      </c>
      <c r="J4" s="4">
        <v>0</v>
      </c>
      <c r="K4" s="4">
        <v>0</v>
      </c>
      <c r="L4" s="4">
        <v>2</v>
      </c>
    </row>
    <row r="5" spans="2:13" x14ac:dyDescent="0.35">
      <c r="B5" s="27" t="s">
        <v>13</v>
      </c>
      <c r="C5" s="4">
        <v>0.58302005012531333</v>
      </c>
      <c r="D5" s="4">
        <v>0.51602525914452524</v>
      </c>
      <c r="E5" s="4">
        <v>0.6417552279739458</v>
      </c>
      <c r="F5" s="4">
        <v>0.52565050661654233</v>
      </c>
      <c r="G5" s="2" t="s">
        <v>90</v>
      </c>
      <c r="H5" s="3">
        <v>2.0538371917360201E-2</v>
      </c>
      <c r="I5" s="4">
        <v>1</v>
      </c>
      <c r="J5" s="4">
        <v>4</v>
      </c>
      <c r="K5" s="4">
        <v>0</v>
      </c>
      <c r="L5" s="4">
        <v>0</v>
      </c>
    </row>
    <row r="6" spans="2:13" x14ac:dyDescent="0.35">
      <c r="B6" s="27" t="s">
        <v>15</v>
      </c>
      <c r="C6" s="4">
        <v>9.5969089390142023E-2</v>
      </c>
      <c r="D6" s="4">
        <v>0.1152150601691886</v>
      </c>
      <c r="E6" s="4">
        <v>8.3876128442463713E-2</v>
      </c>
      <c r="F6" s="4">
        <v>8.902593794376111E-2</v>
      </c>
      <c r="G6" s="2" t="s">
        <v>91</v>
      </c>
      <c r="H6" s="2">
        <v>0.64877879969525398</v>
      </c>
      <c r="I6" s="4">
        <v>2</v>
      </c>
      <c r="J6" s="4">
        <v>6</v>
      </c>
      <c r="K6" s="4">
        <v>0</v>
      </c>
      <c r="L6" s="4">
        <v>0</v>
      </c>
    </row>
    <row r="7" spans="2:13" x14ac:dyDescent="0.35">
      <c r="B7" s="27" t="s">
        <v>36</v>
      </c>
      <c r="C7" s="4">
        <v>0.1188387635756057</v>
      </c>
      <c r="D7" s="4">
        <v>0.16990349100440844</v>
      </c>
      <c r="E7" s="4">
        <v>0.1142726545537653</v>
      </c>
      <c r="F7" s="4">
        <v>0.15637815477701328</v>
      </c>
      <c r="G7" s="2" t="s">
        <v>92</v>
      </c>
      <c r="H7" s="2">
        <v>0.106908621903842</v>
      </c>
      <c r="I7" s="4">
        <v>3</v>
      </c>
      <c r="J7" s="4">
        <v>8</v>
      </c>
      <c r="K7" s="4">
        <v>0</v>
      </c>
      <c r="L7" s="4">
        <v>0</v>
      </c>
    </row>
    <row r="8" spans="2:13" x14ac:dyDescent="0.35">
      <c r="B8" s="27" t="s">
        <v>18</v>
      </c>
      <c r="C8" s="4">
        <v>2.7255639097744359E-2</v>
      </c>
      <c r="D8" s="4">
        <v>3.3241987370427738E-2</v>
      </c>
      <c r="E8" s="4">
        <v>2.8111073020226258E-2</v>
      </c>
      <c r="F8" s="4">
        <v>4.4582255729877687E-2</v>
      </c>
      <c r="G8" s="2" t="s">
        <v>93</v>
      </c>
      <c r="H8" s="2">
        <v>0.13633163939200399</v>
      </c>
      <c r="I8" s="4">
        <v>4</v>
      </c>
      <c r="J8" s="4">
        <v>10</v>
      </c>
      <c r="K8" s="4">
        <v>0</v>
      </c>
      <c r="L8" s="4">
        <v>0</v>
      </c>
    </row>
    <row r="9" spans="2:13" x14ac:dyDescent="0.35">
      <c r="B9" s="27" t="s">
        <v>19</v>
      </c>
      <c r="C9" s="4">
        <v>6.3596491228070179E-2</v>
      </c>
      <c r="D9" s="4">
        <v>6.8628619087334683E-2</v>
      </c>
      <c r="E9" s="4">
        <v>4.3195063421323274E-2</v>
      </c>
      <c r="F9" s="4">
        <v>8.285324241447202E-2</v>
      </c>
      <c r="G9" s="2" t="s">
        <v>93</v>
      </c>
      <c r="H9" s="3">
        <v>2.5089479876928701E-2</v>
      </c>
      <c r="I9" s="4">
        <v>4</v>
      </c>
      <c r="J9" s="4">
        <v>10</v>
      </c>
      <c r="K9" s="4">
        <v>0</v>
      </c>
      <c r="L9" s="4">
        <v>0</v>
      </c>
    </row>
    <row r="10" spans="2:13" x14ac:dyDescent="0.35">
      <c r="B10" s="27" t="s">
        <v>20</v>
      </c>
      <c r="C10" s="4">
        <v>2.015455304928989E-2</v>
      </c>
      <c r="D10" s="4">
        <v>2.0850708924103418E-2</v>
      </c>
      <c r="E10" s="4">
        <v>1.6112444292080905E-2</v>
      </c>
      <c r="F10" s="4">
        <v>3.5253925677946919E-2</v>
      </c>
      <c r="G10" s="2" t="s">
        <v>94</v>
      </c>
      <c r="H10" s="3">
        <v>4.3767237639840001E-2</v>
      </c>
      <c r="I10" s="4">
        <v>5</v>
      </c>
      <c r="J10" s="4">
        <v>12</v>
      </c>
      <c r="K10" s="4">
        <v>0</v>
      </c>
      <c r="L10" s="4">
        <v>0</v>
      </c>
    </row>
    <row r="11" spans="2:13" x14ac:dyDescent="0.35">
      <c r="B11" s="27" t="s">
        <v>21</v>
      </c>
      <c r="C11" s="4">
        <v>1.8901420217209693E-2</v>
      </c>
      <c r="D11" s="4">
        <v>1.8586917669486475E-2</v>
      </c>
      <c r="E11" s="4">
        <v>9.598902982516283E-3</v>
      </c>
      <c r="F11" s="4">
        <v>1.7010242092048485E-2</v>
      </c>
      <c r="G11" s="2" t="s">
        <v>94</v>
      </c>
      <c r="H11" s="3">
        <v>1.0914654597227499E-2</v>
      </c>
      <c r="I11" s="4">
        <v>5</v>
      </c>
      <c r="J11" s="4">
        <v>12</v>
      </c>
      <c r="K11" s="4">
        <v>0</v>
      </c>
      <c r="L11" s="4">
        <v>0</v>
      </c>
    </row>
    <row r="12" spans="2:13" x14ac:dyDescent="0.35">
      <c r="B12" s="27" t="s">
        <v>22</v>
      </c>
      <c r="C12" s="4">
        <v>1.1487050960735172E-2</v>
      </c>
      <c r="D12" s="4">
        <v>1.405933516025259E-2</v>
      </c>
      <c r="E12" s="4">
        <v>6.8563592732259161E-3</v>
      </c>
      <c r="F12" s="4">
        <v>4.5262775174760407E-3</v>
      </c>
      <c r="G12" s="2" t="s">
        <v>95</v>
      </c>
      <c r="H12" s="3">
        <v>5.1361698707478899E-3</v>
      </c>
      <c r="I12" s="4">
        <v>6</v>
      </c>
      <c r="J12" s="4">
        <v>14</v>
      </c>
      <c r="K12" s="4">
        <v>0</v>
      </c>
      <c r="L12" s="4">
        <v>0</v>
      </c>
    </row>
    <row r="13" spans="2:13" x14ac:dyDescent="0.35">
      <c r="B13" s="27" t="s">
        <v>23</v>
      </c>
      <c r="C13" s="4">
        <v>6.1612364243943197E-3</v>
      </c>
      <c r="D13" s="4">
        <v>0</v>
      </c>
      <c r="E13" s="4">
        <v>6.8563592732259163E-4</v>
      </c>
      <c r="F13" s="4">
        <v>5.4880600393768307E-4</v>
      </c>
      <c r="G13" s="2" t="s">
        <v>96</v>
      </c>
      <c r="H13" s="3">
        <v>8.66049724821587E-4</v>
      </c>
      <c r="I13" s="4">
        <v>7</v>
      </c>
      <c r="J13" s="4">
        <v>16</v>
      </c>
      <c r="K13" s="4">
        <v>0</v>
      </c>
      <c r="L13" s="4">
        <v>0</v>
      </c>
    </row>
    <row r="14" spans="2:13" x14ac:dyDescent="0.35">
      <c r="B14" s="4"/>
      <c r="C14" s="4">
        <v>1.0000000000000002</v>
      </c>
      <c r="D14" s="4">
        <v>1</v>
      </c>
      <c r="E14" s="4">
        <v>1.0000000000000002</v>
      </c>
      <c r="F14" s="4">
        <v>1</v>
      </c>
      <c r="H14" s="98"/>
      <c r="M14" s="98">
        <f>SUM(H4:H13)</f>
        <v>0.99992646164352794</v>
      </c>
    </row>
    <row r="15" spans="2:13" x14ac:dyDescent="0.35">
      <c r="M15" s="98"/>
    </row>
    <row r="16" spans="2:13" x14ac:dyDescent="0.35">
      <c r="B16" s="21">
        <v>1</v>
      </c>
      <c r="C16" s="125" t="s">
        <v>97</v>
      </c>
      <c r="D16" s="125"/>
      <c r="E16" s="125"/>
      <c r="F16" s="125"/>
      <c r="G16" s="125"/>
      <c r="H16" s="125"/>
      <c r="I16" s="125"/>
    </row>
    <row r="20" spans="2:10" x14ac:dyDescent="0.35">
      <c r="I20" s="21">
        <v>0.96678751736935598</v>
      </c>
    </row>
    <row r="22" spans="2:10" ht="15" customHeight="1" x14ac:dyDescent="0.35">
      <c r="B22" s="21">
        <v>2</v>
      </c>
      <c r="C22" s="126" t="s">
        <v>98</v>
      </c>
      <c r="D22" s="126"/>
      <c r="E22" s="126"/>
      <c r="F22" s="126"/>
      <c r="G22" s="126"/>
      <c r="H22" s="126"/>
      <c r="I22" s="126"/>
      <c r="J22" s="126"/>
    </row>
    <row r="23" spans="2:10" x14ac:dyDescent="0.35">
      <c r="C23" s="126"/>
      <c r="D23" s="126"/>
      <c r="E23" s="126"/>
      <c r="F23" s="126"/>
      <c r="G23" s="126"/>
      <c r="H23" s="126"/>
      <c r="I23" s="126"/>
      <c r="J23" s="126"/>
    </row>
    <row r="24" spans="2:10" x14ac:dyDescent="0.35">
      <c r="C24" s="126"/>
      <c r="D24" s="126"/>
      <c r="E24" s="126"/>
      <c r="F24" s="126"/>
      <c r="G24" s="126"/>
      <c r="H24" s="126"/>
      <c r="I24" s="126"/>
      <c r="J24" s="126"/>
    </row>
  </sheetData>
  <mergeCells count="4">
    <mergeCell ref="G2:H2"/>
    <mergeCell ref="I2:L2"/>
    <mergeCell ref="C16:I16"/>
    <mergeCell ref="C22:J24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E56C-7BB3-49E9-B8CF-0258BAF1786A}">
  <dimension ref="C2:I25"/>
  <sheetViews>
    <sheetView zoomScale="58" zoomScaleNormal="58" workbookViewId="0">
      <selection activeCell="I26" sqref="I26"/>
    </sheetView>
  </sheetViews>
  <sheetFormatPr baseColWidth="10" defaultColWidth="11.54296875" defaultRowHeight="15.5" x14ac:dyDescent="0.35"/>
  <cols>
    <col min="1" max="8" width="11.54296875" style="21"/>
    <col min="9" max="9" width="34.54296875" style="21" bestFit="1" customWidth="1"/>
    <col min="10" max="16384" width="11.54296875" style="21"/>
  </cols>
  <sheetData>
    <row r="2" spans="3:9" x14ac:dyDescent="0.35">
      <c r="I2" s="21">
        <v>324640.78575394099</v>
      </c>
    </row>
    <row r="3" spans="3:9" x14ac:dyDescent="0.35">
      <c r="D3" s="113" t="s">
        <v>99</v>
      </c>
      <c r="E3" s="113" t="s">
        <v>85</v>
      </c>
      <c r="F3" s="113" t="s">
        <v>86</v>
      </c>
      <c r="G3" s="113" t="s">
        <v>87</v>
      </c>
      <c r="H3" s="113" t="s">
        <v>88</v>
      </c>
    </row>
    <row r="4" spans="3:9" x14ac:dyDescent="0.35">
      <c r="C4" s="35" t="s">
        <v>12</v>
      </c>
      <c r="D4" s="4">
        <v>1.4788000000000001E-2</v>
      </c>
      <c r="E4" s="4">
        <v>0</v>
      </c>
      <c r="F4" s="4">
        <v>0</v>
      </c>
      <c r="G4" s="4">
        <v>0</v>
      </c>
      <c r="H4" s="4">
        <v>2</v>
      </c>
      <c r="I4" s="99">
        <v>4.44109130498673E-4</v>
      </c>
    </row>
    <row r="5" spans="3:9" x14ac:dyDescent="0.35">
      <c r="C5" s="35" t="s">
        <v>41</v>
      </c>
      <c r="D5" s="4">
        <v>1.91E-3</v>
      </c>
      <c r="E5" s="4">
        <v>1</v>
      </c>
      <c r="F5" s="4">
        <v>0</v>
      </c>
      <c r="G5" s="4">
        <v>2</v>
      </c>
      <c r="H5" s="4">
        <v>0</v>
      </c>
      <c r="I5" s="99">
        <v>3.4499938547852101E-6</v>
      </c>
    </row>
    <row r="6" spans="3:9" x14ac:dyDescent="0.35">
      <c r="C6" s="35" t="s">
        <v>13</v>
      </c>
      <c r="D6" s="4">
        <v>0.97971299999999995</v>
      </c>
      <c r="E6" s="4">
        <v>1</v>
      </c>
      <c r="F6" s="4">
        <v>4</v>
      </c>
      <c r="G6" s="4">
        <v>0</v>
      </c>
      <c r="H6" s="4">
        <v>0</v>
      </c>
      <c r="I6" s="99">
        <v>0.68885979117938001</v>
      </c>
    </row>
    <row r="7" spans="3:9" x14ac:dyDescent="0.35">
      <c r="C7" s="35" t="s">
        <v>15</v>
      </c>
      <c r="D7" s="4">
        <v>2.5249999999999999E-3</v>
      </c>
      <c r="E7" s="4">
        <v>2</v>
      </c>
      <c r="F7" s="4">
        <v>6</v>
      </c>
      <c r="G7" s="4">
        <v>0</v>
      </c>
      <c r="H7" s="4">
        <v>0</v>
      </c>
      <c r="I7" s="99">
        <v>0.100017057406876</v>
      </c>
    </row>
    <row r="8" spans="3:9" x14ac:dyDescent="0.35">
      <c r="C8" s="35" t="s">
        <v>36</v>
      </c>
      <c r="D8" s="4">
        <v>5.2899999999999996E-4</v>
      </c>
      <c r="E8" s="4">
        <v>3</v>
      </c>
      <c r="F8" s="4">
        <v>8</v>
      </c>
      <c r="G8" s="4">
        <v>0</v>
      </c>
      <c r="H8" s="4">
        <v>0</v>
      </c>
      <c r="I8" s="99">
        <v>0.12567132038918</v>
      </c>
    </row>
    <row r="9" spans="3:9" x14ac:dyDescent="0.35">
      <c r="C9" s="35" t="s">
        <v>18</v>
      </c>
      <c r="D9" s="4">
        <v>2.05E-4</v>
      </c>
      <c r="E9" s="4">
        <v>4</v>
      </c>
      <c r="F9" s="4">
        <v>10</v>
      </c>
      <c r="G9" s="4">
        <v>0</v>
      </c>
      <c r="H9" s="4">
        <v>0</v>
      </c>
      <c r="I9" s="99">
        <v>2.4823374724331999E-2</v>
      </c>
    </row>
    <row r="10" spans="3:9" x14ac:dyDescent="0.35">
      <c r="C10" s="35" t="s">
        <v>19</v>
      </c>
      <c r="D10" s="4">
        <v>8.0000000000000007E-5</v>
      </c>
      <c r="E10" s="4">
        <v>4</v>
      </c>
      <c r="F10" s="4">
        <v>10</v>
      </c>
      <c r="G10" s="4"/>
      <c r="H10" s="4">
        <v>0</v>
      </c>
      <c r="I10" s="99">
        <v>4.1062519019483698E-2</v>
      </c>
    </row>
    <row r="11" spans="3:9" x14ac:dyDescent="0.35">
      <c r="C11" s="35" t="s">
        <v>20</v>
      </c>
      <c r="D11" s="4">
        <v>7.7999999999999999E-5</v>
      </c>
      <c r="E11" s="4">
        <v>5</v>
      </c>
      <c r="F11" s="4">
        <v>12</v>
      </c>
      <c r="G11" s="4">
        <v>0</v>
      </c>
      <c r="H11" s="4">
        <v>0</v>
      </c>
      <c r="I11" s="99">
        <v>1.0990453962924701E-2</v>
      </c>
    </row>
    <row r="12" spans="3:9" x14ac:dyDescent="0.35">
      <c r="C12" s="35" t="s">
        <v>21</v>
      </c>
      <c r="D12" s="4">
        <v>1.8E-5</v>
      </c>
      <c r="E12" s="4">
        <v>5</v>
      </c>
      <c r="F12" s="4">
        <v>12</v>
      </c>
      <c r="G12" s="4">
        <v>0</v>
      </c>
      <c r="H12" s="4">
        <v>0</v>
      </c>
      <c r="I12" s="99">
        <v>6.1298825569649201E-3</v>
      </c>
    </row>
    <row r="13" spans="3:9" x14ac:dyDescent="0.35">
      <c r="C13" s="35" t="s">
        <v>22</v>
      </c>
      <c r="D13" s="4">
        <v>1.54E-4</v>
      </c>
      <c r="E13" s="4">
        <v>6</v>
      </c>
      <c r="F13" s="4">
        <v>14</v>
      </c>
      <c r="G13" s="4">
        <v>0</v>
      </c>
      <c r="H13" s="4">
        <v>0</v>
      </c>
      <c r="I13" s="99">
        <v>1.9357862503771399E-3</v>
      </c>
    </row>
    <row r="14" spans="3:9" x14ac:dyDescent="0.35">
      <c r="I14" s="99">
        <v>5.9005338879231901E-5</v>
      </c>
    </row>
    <row r="15" spans="3:9" x14ac:dyDescent="0.35">
      <c r="D15" s="104" t="s">
        <v>100</v>
      </c>
      <c r="E15" s="2">
        <f>SUMPRODUCT(E4:E13,D4:D13)</f>
        <v>0.99080400000000002</v>
      </c>
      <c r="I15" s="99">
        <v>3.2500355476371599E-6</v>
      </c>
    </row>
    <row r="16" spans="3:9" x14ac:dyDescent="0.35">
      <c r="D16" s="104" t="s">
        <v>101</v>
      </c>
      <c r="E16" s="2">
        <f>SUMPRODUCT(F4:F13,D4:D13)</f>
        <v>3.9443919999999997</v>
      </c>
      <c r="F16" s="21">
        <f>E16/2</f>
        <v>1.9721959999999998</v>
      </c>
    </row>
    <row r="17" spans="3:9" x14ac:dyDescent="0.35">
      <c r="D17" s="104" t="s">
        <v>102</v>
      </c>
      <c r="E17" s="2">
        <f>SUMPRODUCT(G4:G13,D4:D13)</f>
        <v>3.82E-3</v>
      </c>
      <c r="I17" s="99">
        <v>0</v>
      </c>
    </row>
    <row r="18" spans="3:9" x14ac:dyDescent="0.35">
      <c r="D18" s="104" t="s">
        <v>103</v>
      </c>
      <c r="E18" s="2">
        <f>SUMPRODUCT(H4:H13,D4:D13)</f>
        <v>2.9576000000000002E-2</v>
      </c>
      <c r="I18" s="99">
        <v>0</v>
      </c>
    </row>
    <row r="20" spans="3:9" x14ac:dyDescent="0.35">
      <c r="D20" s="21">
        <f>11023293.6778223</f>
        <v>11023293.677822299</v>
      </c>
      <c r="E20" s="21">
        <f>5715725.68350896</f>
        <v>5715725.6835089596</v>
      </c>
      <c r="F20" s="21">
        <f>D20-E20</f>
        <v>5307567.9943133397</v>
      </c>
    </row>
    <row r="21" spans="3:9" x14ac:dyDescent="0.35">
      <c r="F21" s="21">
        <f>F20/D20</f>
        <v>0.48148658190896293</v>
      </c>
    </row>
    <row r="23" spans="3:9" x14ac:dyDescent="0.35">
      <c r="C23" s="21">
        <v>1</v>
      </c>
      <c r="D23" s="21">
        <v>2828</v>
      </c>
    </row>
    <row r="24" spans="3:9" x14ac:dyDescent="0.35">
      <c r="C24" s="21">
        <v>0.95850000000000002</v>
      </c>
      <c r="D24" s="21">
        <f>D23/C24</f>
        <v>2950.4434011476264</v>
      </c>
    </row>
    <row r="25" spans="3:9" x14ac:dyDescent="0.35">
      <c r="D25" s="21">
        <f>D24/0.21</f>
        <v>14049.730481655364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0E22-40D1-4DF9-9616-B615BE80E635}">
  <dimension ref="B1:P28"/>
  <sheetViews>
    <sheetView zoomScale="55" zoomScaleNormal="55" workbookViewId="0">
      <selection activeCell="G7" sqref="G7"/>
    </sheetView>
  </sheetViews>
  <sheetFormatPr baseColWidth="10" defaultColWidth="11.54296875" defaultRowHeight="15.5" x14ac:dyDescent="0.35"/>
  <cols>
    <col min="1" max="1" width="11.54296875" style="21"/>
    <col min="2" max="2" width="22.54296875" style="21" customWidth="1"/>
    <col min="3" max="4" width="20.7265625" style="21" customWidth="1"/>
    <col min="5" max="5" width="13.26953125" style="21" bestFit="1" customWidth="1"/>
    <col min="6" max="6" width="21.26953125" style="21" bestFit="1" customWidth="1"/>
    <col min="7" max="7" width="17" style="21" bestFit="1" customWidth="1"/>
    <col min="8" max="8" width="24.54296875" style="21" bestFit="1" customWidth="1"/>
    <col min="9" max="12" width="11.54296875" style="21"/>
    <col min="13" max="13" width="20.81640625" style="21" bestFit="1" customWidth="1"/>
    <col min="14" max="14" width="17.7265625" style="21" customWidth="1"/>
    <col min="15" max="15" width="22.453125" style="21" customWidth="1"/>
    <col min="16" max="16" width="16.54296875" style="21" customWidth="1"/>
    <col min="17" max="16384" width="11.54296875" style="21"/>
  </cols>
  <sheetData>
    <row r="1" spans="2:16" ht="40.9" customHeight="1" x14ac:dyDescent="0.35"/>
    <row r="2" spans="2:16" ht="21" customHeight="1" x14ac:dyDescent="0.35">
      <c r="B2" s="105" t="s">
        <v>103</v>
      </c>
      <c r="C2" s="2">
        <v>55.318341819445898</v>
      </c>
      <c r="L2" s="9"/>
      <c r="M2" s="9"/>
    </row>
    <row r="3" spans="2:16" ht="16" thickBot="1" x14ac:dyDescent="0.4">
      <c r="B3" s="105" t="s">
        <v>41</v>
      </c>
      <c r="C3" s="2">
        <v>21605.6696765411</v>
      </c>
      <c r="E3" s="114" t="s">
        <v>104</v>
      </c>
      <c r="F3" s="114" t="s">
        <v>105</v>
      </c>
      <c r="G3" s="114" t="s">
        <v>106</v>
      </c>
      <c r="H3" s="114" t="s">
        <v>107</v>
      </c>
      <c r="M3" s="9"/>
    </row>
    <row r="4" spans="2:16" x14ac:dyDescent="0.35">
      <c r="B4" s="105" t="s">
        <v>108</v>
      </c>
      <c r="C4" s="2">
        <v>0</v>
      </c>
      <c r="E4" s="4" t="s">
        <v>13</v>
      </c>
      <c r="F4" s="4">
        <v>661.395478761851</v>
      </c>
      <c r="G4" s="4">
        <v>2</v>
      </c>
      <c r="H4" s="4">
        <f>F4*G4</f>
        <v>1322.790957523702</v>
      </c>
      <c r="M4" s="127" t="s">
        <v>109</v>
      </c>
      <c r="N4" s="127" t="s">
        <v>110</v>
      </c>
      <c r="O4" s="127" t="s">
        <v>111</v>
      </c>
      <c r="P4" s="127" t="s">
        <v>112</v>
      </c>
    </row>
    <row r="5" spans="2:16" x14ac:dyDescent="0.35">
      <c r="B5" s="105" t="s">
        <v>113</v>
      </c>
      <c r="C5" s="2">
        <v>0</v>
      </c>
      <c r="E5" s="4" t="s">
        <v>15</v>
      </c>
      <c r="F5" s="4">
        <v>133.69988930424401</v>
      </c>
      <c r="G5" s="4">
        <v>3.5</v>
      </c>
      <c r="H5" s="4">
        <f t="shared" ref="H5:H12" si="0">F5*G5</f>
        <v>467.94961256485402</v>
      </c>
      <c r="L5" s="9"/>
      <c r="M5" s="128"/>
      <c r="N5" s="128"/>
      <c r="O5" s="128"/>
      <c r="P5" s="128"/>
    </row>
    <row r="6" spans="2:16" ht="16" thickBot="1" x14ac:dyDescent="0.4">
      <c r="B6" s="105" t="s">
        <v>114</v>
      </c>
      <c r="C6" s="2">
        <v>0</v>
      </c>
      <c r="E6" s="4" t="s">
        <v>17</v>
      </c>
      <c r="F6" s="4">
        <v>221.922177626409</v>
      </c>
      <c r="G6" s="4">
        <v>5</v>
      </c>
      <c r="H6" s="4">
        <f t="shared" si="0"/>
        <v>1109.6108881320449</v>
      </c>
      <c r="L6" s="9"/>
      <c r="M6" s="129"/>
      <c r="N6" s="129"/>
      <c r="O6" s="129"/>
      <c r="P6" s="129"/>
    </row>
    <row r="7" spans="2:16" ht="16" thickBot="1" x14ac:dyDescent="0.4">
      <c r="B7" s="105" t="s">
        <v>115</v>
      </c>
      <c r="C7" s="2">
        <v>0</v>
      </c>
      <c r="E7" s="4" t="s">
        <v>18</v>
      </c>
      <c r="F7" s="4">
        <v>53.302238790503701</v>
      </c>
      <c r="G7" s="4">
        <v>6.5</v>
      </c>
      <c r="H7" s="4">
        <f t="shared" si="0"/>
        <v>346.46455213827403</v>
      </c>
      <c r="L7" s="9"/>
      <c r="M7" s="10" t="s">
        <v>12</v>
      </c>
      <c r="N7" s="11">
        <v>3.9729999999999999</v>
      </c>
      <c r="O7" s="11">
        <v>0</v>
      </c>
      <c r="P7" s="11">
        <v>3.9729999999999999</v>
      </c>
    </row>
    <row r="8" spans="2:16" ht="16" thickBot="1" x14ac:dyDescent="0.4">
      <c r="B8" s="105" t="s">
        <v>116</v>
      </c>
      <c r="C8" s="2">
        <v>0</v>
      </c>
      <c r="E8" s="4" t="s">
        <v>19</v>
      </c>
      <c r="F8" s="4">
        <v>103.539107822847</v>
      </c>
      <c r="G8" s="4">
        <v>6.5</v>
      </c>
      <c r="H8" s="4">
        <f t="shared" si="0"/>
        <v>673.00420084850555</v>
      </c>
      <c r="L8" s="9"/>
      <c r="M8" s="10" t="s">
        <v>117</v>
      </c>
      <c r="N8" s="11">
        <v>1889.42</v>
      </c>
      <c r="O8" s="11">
        <v>2228.6970000000001</v>
      </c>
      <c r="P8" s="11">
        <v>4118.1170000000002</v>
      </c>
    </row>
    <row r="9" spans="2:16" ht="16" thickBot="1" x14ac:dyDescent="0.4">
      <c r="B9" s="105" t="s">
        <v>118</v>
      </c>
      <c r="C9" s="2">
        <v>0</v>
      </c>
      <c r="E9" s="4" t="s">
        <v>20</v>
      </c>
      <c r="F9" s="4">
        <v>37.026077551668699</v>
      </c>
      <c r="G9" s="4">
        <v>8</v>
      </c>
      <c r="H9" s="4">
        <f t="shared" si="0"/>
        <v>296.20862041334959</v>
      </c>
      <c r="L9" s="9"/>
      <c r="M9" s="10" t="s">
        <v>13</v>
      </c>
      <c r="N9" s="11">
        <v>885.45699999999999</v>
      </c>
      <c r="O9" s="11">
        <v>885.45699999999999</v>
      </c>
      <c r="P9" s="11">
        <v>0</v>
      </c>
    </row>
    <row r="10" spans="2:16" ht="16" thickBot="1" x14ac:dyDescent="0.4">
      <c r="B10" s="105" t="s">
        <v>119</v>
      </c>
      <c r="C10" s="2">
        <v>0</v>
      </c>
      <c r="E10" s="4" t="s">
        <v>21</v>
      </c>
      <c r="F10" s="4">
        <v>19.303387534397199</v>
      </c>
      <c r="G10" s="4">
        <v>8</v>
      </c>
      <c r="H10" s="4">
        <f t="shared" si="0"/>
        <v>154.42710027517759</v>
      </c>
      <c r="L10" s="9"/>
      <c r="M10" s="10" t="s">
        <v>15</v>
      </c>
      <c r="N10" s="11">
        <v>145.90899999999999</v>
      </c>
      <c r="O10" s="11">
        <v>145.90899999999999</v>
      </c>
      <c r="P10" s="11">
        <v>0</v>
      </c>
    </row>
    <row r="11" spans="2:16" ht="16" thickBot="1" x14ac:dyDescent="0.4">
      <c r="B11" s="105" t="s">
        <v>120</v>
      </c>
      <c r="C11" s="2">
        <v>0</v>
      </c>
      <c r="E11" s="4" t="s">
        <v>22</v>
      </c>
      <c r="F11" s="4">
        <v>5.5851957680836897</v>
      </c>
      <c r="G11" s="4">
        <v>9.5</v>
      </c>
      <c r="H11" s="4">
        <f t="shared" si="0"/>
        <v>53.05935979679505</v>
      </c>
      <c r="L11" s="9"/>
      <c r="M11" s="10" t="s">
        <v>17</v>
      </c>
      <c r="N11" s="11">
        <v>186.066</v>
      </c>
      <c r="O11" s="11">
        <v>186.066</v>
      </c>
      <c r="P11" s="11">
        <v>0</v>
      </c>
    </row>
    <row r="12" spans="2:16" ht="16" thickBot="1" x14ac:dyDescent="0.4">
      <c r="B12" s="105" t="s">
        <v>121</v>
      </c>
      <c r="C12" s="2">
        <v>0</v>
      </c>
      <c r="E12" s="4" t="s">
        <v>23</v>
      </c>
      <c r="F12" s="4">
        <v>0.86010714536337596</v>
      </c>
      <c r="G12" s="4">
        <v>11</v>
      </c>
      <c r="H12" s="4">
        <f t="shared" si="0"/>
        <v>9.4611785989971349</v>
      </c>
      <c r="L12" s="9"/>
      <c r="M12" s="10" t="s">
        <v>18</v>
      </c>
      <c r="N12" s="11">
        <v>34.241999999999997</v>
      </c>
      <c r="O12" s="11">
        <v>34.241999999999997</v>
      </c>
      <c r="P12" s="11">
        <v>0</v>
      </c>
    </row>
    <row r="13" spans="2:16" ht="16" thickBot="1" x14ac:dyDescent="0.4">
      <c r="B13" s="105" t="s">
        <v>43</v>
      </c>
      <c r="C13" s="2">
        <v>3781.4604597152102</v>
      </c>
      <c r="L13" s="9"/>
      <c r="M13" s="10" t="s">
        <v>19</v>
      </c>
      <c r="N13" s="11">
        <v>59.734000000000002</v>
      </c>
      <c r="O13" s="11">
        <v>59.734000000000002</v>
      </c>
      <c r="P13" s="11">
        <v>0</v>
      </c>
    </row>
    <row r="14" spans="2:16" ht="16" thickBot="1" x14ac:dyDescent="0.4">
      <c r="B14" s="105" t="s">
        <v>122</v>
      </c>
      <c r="C14" s="2">
        <v>2955.3365605755098</v>
      </c>
      <c r="L14" s="9"/>
      <c r="M14" s="10" t="s">
        <v>20</v>
      </c>
      <c r="N14" s="11">
        <v>14.896000000000001</v>
      </c>
      <c r="O14" s="11">
        <v>14.896000000000001</v>
      </c>
      <c r="P14" s="11">
        <v>0</v>
      </c>
    </row>
    <row r="15" spans="2:16" ht="16" thickBot="1" x14ac:dyDescent="0.4">
      <c r="B15" s="105" t="s">
        <v>123</v>
      </c>
      <c r="C15" s="2">
        <v>254.78226881544001</v>
      </c>
      <c r="L15" s="9"/>
      <c r="M15" s="10" t="s">
        <v>21</v>
      </c>
      <c r="N15" s="11">
        <v>7.01</v>
      </c>
      <c r="O15" s="11">
        <v>7.01</v>
      </c>
      <c r="P15" s="11">
        <v>0</v>
      </c>
    </row>
    <row r="16" spans="2:16" ht="16" thickBot="1" x14ac:dyDescent="0.4">
      <c r="L16" s="9"/>
      <c r="M16" s="10" t="s">
        <v>22</v>
      </c>
      <c r="N16" s="11">
        <v>1.1819999999999999</v>
      </c>
      <c r="O16" s="11">
        <v>1.1819999999999999</v>
      </c>
      <c r="P16" s="11">
        <v>0</v>
      </c>
    </row>
    <row r="17" spans="2:16" ht="16" thickBot="1" x14ac:dyDescent="0.4">
      <c r="B17" s="130" t="s">
        <v>109</v>
      </c>
      <c r="C17" s="106" t="s">
        <v>124</v>
      </c>
      <c r="D17" s="130" t="s">
        <v>125</v>
      </c>
      <c r="L17" s="9"/>
      <c r="M17" s="10" t="s">
        <v>23</v>
      </c>
      <c r="N17" s="11">
        <v>9.9000000000000005E-2</v>
      </c>
      <c r="O17" s="11">
        <v>9.9000000000000005E-2</v>
      </c>
      <c r="P17" s="11">
        <v>0</v>
      </c>
    </row>
    <row r="18" spans="2:16" ht="16" thickBot="1" x14ac:dyDescent="0.4">
      <c r="B18" s="131"/>
      <c r="C18" s="107" t="s">
        <v>126</v>
      </c>
      <c r="D18" s="131"/>
      <c r="M18" s="10" t="s">
        <v>16</v>
      </c>
      <c r="N18" s="11">
        <v>30487.111000000001</v>
      </c>
      <c r="O18" s="11">
        <v>3563.4409999999998</v>
      </c>
      <c r="P18" s="11">
        <v>34050.552000000003</v>
      </c>
    </row>
    <row r="19" spans="2:16" ht="16" thickBot="1" x14ac:dyDescent="0.4">
      <c r="B19" s="101" t="s">
        <v>13</v>
      </c>
      <c r="C19" s="100">
        <v>548.42100000000005</v>
      </c>
      <c r="D19" s="102">
        <v>1096.8399999999999</v>
      </c>
      <c r="M19" s="10" t="s">
        <v>102</v>
      </c>
      <c r="N19" s="11">
        <v>4010.3440000000001</v>
      </c>
      <c r="O19" s="11">
        <v>4010.3440000000001</v>
      </c>
      <c r="P19" s="11">
        <v>0</v>
      </c>
    </row>
    <row r="20" spans="2:16" ht="16" thickBot="1" x14ac:dyDescent="0.4">
      <c r="B20" s="101" t="s">
        <v>15</v>
      </c>
      <c r="C20" s="100">
        <v>788.37800000000004</v>
      </c>
      <c r="D20" s="102">
        <v>2759.32</v>
      </c>
    </row>
    <row r="21" spans="2:16" ht="16" thickBot="1" x14ac:dyDescent="0.4">
      <c r="B21" s="101" t="s">
        <v>17</v>
      </c>
      <c r="C21" s="100">
        <v>1247.81</v>
      </c>
      <c r="D21" s="102">
        <v>6239.01</v>
      </c>
    </row>
    <row r="22" spans="2:16" ht="16" thickBot="1" x14ac:dyDescent="0.4">
      <c r="B22" s="101" t="s">
        <v>18</v>
      </c>
      <c r="C22" s="100">
        <v>240.01300000000001</v>
      </c>
      <c r="D22" s="102">
        <v>1560.09</v>
      </c>
    </row>
    <row r="23" spans="2:16" ht="16" thickBot="1" x14ac:dyDescent="0.4">
      <c r="B23" s="101" t="s">
        <v>19</v>
      </c>
      <c r="C23" s="100">
        <v>518.21699999999998</v>
      </c>
      <c r="D23" s="102">
        <v>3368.41</v>
      </c>
    </row>
    <row r="24" spans="2:16" ht="16" thickBot="1" x14ac:dyDescent="0.4">
      <c r="B24" s="101" t="s">
        <v>20</v>
      </c>
      <c r="C24" s="100">
        <v>159.84700000000001</v>
      </c>
      <c r="D24" s="102">
        <v>1278.78</v>
      </c>
    </row>
    <row r="25" spans="2:16" ht="16" thickBot="1" x14ac:dyDescent="0.4">
      <c r="B25" s="101" t="s">
        <v>21</v>
      </c>
      <c r="C25" s="100">
        <v>132.88900000000001</v>
      </c>
      <c r="D25" s="102">
        <v>1063.1099999999999</v>
      </c>
    </row>
    <row r="26" spans="2:16" ht="16" thickBot="1" x14ac:dyDescent="0.4">
      <c r="B26" s="101" t="s">
        <v>22</v>
      </c>
      <c r="C26" s="100">
        <v>35.253</v>
      </c>
      <c r="D26" s="102">
        <v>334.904</v>
      </c>
    </row>
    <row r="27" spans="2:16" ht="16" thickBot="1" x14ac:dyDescent="0.4">
      <c r="B27" s="101" t="s">
        <v>23</v>
      </c>
      <c r="C27" s="100">
        <v>8.94937</v>
      </c>
      <c r="D27" s="102">
        <v>98.443100000000001</v>
      </c>
    </row>
    <row r="28" spans="2:16" ht="16" thickBot="1" x14ac:dyDescent="0.4">
      <c r="B28" s="101" t="s">
        <v>24</v>
      </c>
      <c r="C28" s="100"/>
      <c r="D28" s="102">
        <v>17798.922999999999</v>
      </c>
    </row>
  </sheetData>
  <mergeCells count="6">
    <mergeCell ref="M4:M6"/>
    <mergeCell ref="N4:N6"/>
    <mergeCell ref="O4:O6"/>
    <mergeCell ref="P4:P6"/>
    <mergeCell ref="B17:B18"/>
    <mergeCell ref="D17:D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535E-D564-4BE3-BCAD-F85A383135D2}">
  <dimension ref="B1:S30"/>
  <sheetViews>
    <sheetView zoomScale="70" zoomScaleNormal="70" workbookViewId="0">
      <selection activeCell="A2" sqref="A2"/>
    </sheetView>
  </sheetViews>
  <sheetFormatPr baseColWidth="10" defaultColWidth="11.54296875" defaultRowHeight="15.5" x14ac:dyDescent="0.35"/>
  <cols>
    <col min="1" max="1" width="11.54296875" style="21"/>
    <col min="2" max="2" width="17.453125" style="21" bestFit="1" customWidth="1"/>
    <col min="3" max="3" width="14.7265625" style="21" bestFit="1" customWidth="1"/>
    <col min="4" max="7" width="11.7265625" style="21" bestFit="1" customWidth="1"/>
    <col min="8" max="8" width="11.54296875" style="21"/>
    <col min="9" max="9" width="14.26953125" style="21" bestFit="1" customWidth="1"/>
    <col min="10" max="10" width="22.1796875" style="21" customWidth="1"/>
    <col min="11" max="11" width="18.1796875" style="21" bestFit="1" customWidth="1"/>
    <col min="12" max="13" width="11.54296875" style="21"/>
    <col min="14" max="14" width="21.453125" style="21" bestFit="1" customWidth="1"/>
    <col min="15" max="15" width="23" style="21" bestFit="1" customWidth="1"/>
    <col min="16" max="16" width="21.7265625" style="21" bestFit="1" customWidth="1"/>
    <col min="17" max="17" width="24.1796875" style="21" bestFit="1" customWidth="1"/>
    <col min="18" max="18" width="12.7265625" style="21" bestFit="1" customWidth="1"/>
    <col min="19" max="19" width="11.7265625" style="21" bestFit="1" customWidth="1"/>
    <col min="20" max="16384" width="11.54296875" style="21"/>
  </cols>
  <sheetData>
    <row r="1" spans="2:17" ht="16" thickBot="1" x14ac:dyDescent="0.4"/>
    <row r="2" spans="2:17" ht="16" thickBot="1" x14ac:dyDescent="0.4">
      <c r="B2" s="132" t="s">
        <v>81</v>
      </c>
      <c r="C2" s="132"/>
      <c r="D2" s="133" t="s">
        <v>127</v>
      </c>
      <c r="E2" s="133"/>
      <c r="F2" s="133"/>
      <c r="G2" s="133"/>
      <c r="I2" s="113" t="s">
        <v>104</v>
      </c>
      <c r="J2" s="113" t="s">
        <v>105</v>
      </c>
      <c r="K2" s="113" t="s">
        <v>106</v>
      </c>
      <c r="N2" s="109" t="s">
        <v>104</v>
      </c>
      <c r="O2" s="109" t="s">
        <v>105</v>
      </c>
      <c r="P2" s="109" t="s">
        <v>141</v>
      </c>
      <c r="Q2" s="109" t="s">
        <v>107</v>
      </c>
    </row>
    <row r="3" spans="2:17" ht="16" thickBot="1" x14ac:dyDescent="0.4">
      <c r="B3" s="6" t="s">
        <v>128</v>
      </c>
      <c r="C3" s="6" t="s">
        <v>129</v>
      </c>
      <c r="D3" s="6" t="s">
        <v>85</v>
      </c>
      <c r="E3" s="6" t="s">
        <v>86</v>
      </c>
      <c r="F3" s="6" t="s">
        <v>87</v>
      </c>
      <c r="G3" s="6" t="s">
        <v>88</v>
      </c>
      <c r="I3" s="36" t="s">
        <v>13</v>
      </c>
      <c r="J3" s="4">
        <v>661.395478761851</v>
      </c>
      <c r="K3" s="4">
        <v>2</v>
      </c>
      <c r="N3" s="4" t="s">
        <v>13</v>
      </c>
      <c r="O3" s="116">
        <v>661.395478761851</v>
      </c>
      <c r="P3" s="116">
        <v>2</v>
      </c>
      <c r="Q3" s="116">
        <f>O3*P3</f>
        <v>1322.790957523702</v>
      </c>
    </row>
    <row r="4" spans="2:17" ht="17.5" x14ac:dyDescent="0.35">
      <c r="B4" s="7" t="s">
        <v>130</v>
      </c>
      <c r="C4" s="110">
        <v>4.2030272405836698E-2</v>
      </c>
      <c r="D4" s="7">
        <v>0</v>
      </c>
      <c r="E4" s="7">
        <v>0</v>
      </c>
      <c r="F4" s="7">
        <v>0</v>
      </c>
      <c r="G4" s="7">
        <v>2</v>
      </c>
      <c r="I4" s="36" t="s">
        <v>15</v>
      </c>
      <c r="J4" s="4">
        <v>133.69988930424401</v>
      </c>
      <c r="K4" s="4">
        <v>3.5</v>
      </c>
      <c r="N4" s="4" t="s">
        <v>15</v>
      </c>
      <c r="O4" s="116">
        <v>133.69988930424401</v>
      </c>
      <c r="P4" s="116">
        <v>3.5</v>
      </c>
      <c r="Q4" s="116">
        <f>O4*P4</f>
        <v>467.94961256485402</v>
      </c>
    </row>
    <row r="5" spans="2:17" ht="17.5" x14ac:dyDescent="0.35">
      <c r="B5" s="7" t="s">
        <v>131</v>
      </c>
      <c r="C5" s="110">
        <v>0.50252106672108199</v>
      </c>
      <c r="D5" s="7">
        <v>1</v>
      </c>
      <c r="E5" s="7">
        <v>4</v>
      </c>
      <c r="F5" s="7">
        <v>0</v>
      </c>
      <c r="G5" s="7">
        <v>0</v>
      </c>
      <c r="I5" s="36" t="s">
        <v>17</v>
      </c>
      <c r="J5" s="4">
        <v>221.922177626409</v>
      </c>
      <c r="K5" s="4">
        <v>5</v>
      </c>
      <c r="N5" s="4" t="s">
        <v>17</v>
      </c>
      <c r="O5" s="116">
        <v>221.922177626409</v>
      </c>
      <c r="P5" s="116">
        <v>5</v>
      </c>
      <c r="Q5" s="116">
        <f t="shared" ref="Q5:Q11" si="0">O5*P5</f>
        <v>1109.6108881320449</v>
      </c>
    </row>
    <row r="6" spans="2:17" ht="17.5" x14ac:dyDescent="0.35">
      <c r="B6" s="7" t="s">
        <v>132</v>
      </c>
      <c r="C6" s="110">
        <v>0.101583716779309</v>
      </c>
      <c r="D6" s="7">
        <v>2</v>
      </c>
      <c r="E6" s="7">
        <v>6</v>
      </c>
      <c r="F6" s="7">
        <v>0</v>
      </c>
      <c r="G6" s="7">
        <v>0</v>
      </c>
      <c r="I6" s="36" t="s">
        <v>18</v>
      </c>
      <c r="J6" s="4">
        <v>53.302238790503701</v>
      </c>
      <c r="K6" s="4">
        <v>6.5</v>
      </c>
      <c r="N6" s="4" t="s">
        <v>18</v>
      </c>
      <c r="O6" s="116">
        <v>53.302238790503701</v>
      </c>
      <c r="P6" s="116">
        <v>6.5</v>
      </c>
      <c r="Q6" s="116">
        <f t="shared" si="0"/>
        <v>346.46455213827403</v>
      </c>
    </row>
    <row r="7" spans="2:17" ht="17.5" x14ac:dyDescent="0.35">
      <c r="B7" s="7" t="s">
        <v>133</v>
      </c>
      <c r="C7" s="110">
        <v>0.168614048645536</v>
      </c>
      <c r="D7" s="7">
        <v>3</v>
      </c>
      <c r="E7" s="7">
        <v>8</v>
      </c>
      <c r="F7" s="7">
        <v>0</v>
      </c>
      <c r="G7" s="7">
        <v>0</v>
      </c>
      <c r="I7" s="36" t="s">
        <v>19</v>
      </c>
      <c r="J7" s="4">
        <v>103.539107822847</v>
      </c>
      <c r="K7" s="4">
        <v>6.5</v>
      </c>
      <c r="N7" s="4" t="s">
        <v>19</v>
      </c>
      <c r="O7" s="116">
        <v>103.539107822847</v>
      </c>
      <c r="P7" s="116">
        <v>6.5</v>
      </c>
      <c r="Q7" s="116">
        <f t="shared" si="0"/>
        <v>673.00420084850555</v>
      </c>
    </row>
    <row r="8" spans="2:17" ht="17.5" x14ac:dyDescent="0.35">
      <c r="B8" s="7" t="s">
        <v>134</v>
      </c>
      <c r="C8" s="110">
        <v>4.0498459326890002E-2</v>
      </c>
      <c r="D8" s="7">
        <v>4</v>
      </c>
      <c r="E8" s="7">
        <v>10</v>
      </c>
      <c r="F8" s="7">
        <v>0</v>
      </c>
      <c r="G8" s="7">
        <v>0</v>
      </c>
      <c r="I8" s="36" t="s">
        <v>20</v>
      </c>
      <c r="J8" s="4">
        <v>37.026077551668699</v>
      </c>
      <c r="K8" s="4">
        <v>8</v>
      </c>
      <c r="N8" s="4" t="s">
        <v>20</v>
      </c>
      <c r="O8" s="116">
        <v>37.026077551668699</v>
      </c>
      <c r="P8" s="116">
        <v>8</v>
      </c>
      <c r="Q8" s="116">
        <f t="shared" si="0"/>
        <v>296.20862041334959</v>
      </c>
    </row>
    <row r="9" spans="2:17" ht="17.5" x14ac:dyDescent="0.35">
      <c r="B9" s="7" t="s">
        <v>134</v>
      </c>
      <c r="C9" s="110">
        <v>7.8667884164991306E-2</v>
      </c>
      <c r="D9" s="7">
        <v>4</v>
      </c>
      <c r="E9" s="7">
        <v>10</v>
      </c>
      <c r="F9" s="7">
        <v>0</v>
      </c>
      <c r="G9" s="7">
        <v>0</v>
      </c>
      <c r="I9" s="36" t="s">
        <v>21</v>
      </c>
      <c r="J9" s="4">
        <v>19.303387534397199</v>
      </c>
      <c r="K9" s="4">
        <v>8</v>
      </c>
      <c r="N9" s="4" t="s">
        <v>21</v>
      </c>
      <c r="O9" s="116">
        <v>19.303387534397199</v>
      </c>
      <c r="P9" s="116">
        <v>8</v>
      </c>
      <c r="Q9" s="116">
        <f t="shared" si="0"/>
        <v>154.42710027517759</v>
      </c>
    </row>
    <row r="10" spans="2:17" ht="17.5" x14ac:dyDescent="0.35">
      <c r="B10" s="7" t="s">
        <v>135</v>
      </c>
      <c r="C10" s="110">
        <v>2.81320096451123E-2</v>
      </c>
      <c r="D10" s="7">
        <v>5</v>
      </c>
      <c r="E10" s="7">
        <v>12</v>
      </c>
      <c r="F10" s="7">
        <v>0</v>
      </c>
      <c r="G10" s="7">
        <v>0</v>
      </c>
      <c r="I10" s="36" t="s">
        <v>22</v>
      </c>
      <c r="J10" s="4">
        <v>5.5851957680836897</v>
      </c>
      <c r="K10" s="4">
        <v>9.5</v>
      </c>
      <c r="N10" s="4" t="s">
        <v>22</v>
      </c>
      <c r="O10" s="116">
        <v>5.5851957680836897</v>
      </c>
      <c r="P10" s="116">
        <v>9.5</v>
      </c>
      <c r="Q10" s="116">
        <f t="shared" si="0"/>
        <v>53.05935979679505</v>
      </c>
    </row>
    <row r="11" spans="2:17" ht="17.5" x14ac:dyDescent="0.35">
      <c r="B11" s="7" t="s">
        <v>135</v>
      </c>
      <c r="C11" s="110">
        <v>1.4666503183957401E-2</v>
      </c>
      <c r="D11" s="7">
        <v>5</v>
      </c>
      <c r="E11" s="7">
        <v>12</v>
      </c>
      <c r="F11" s="7">
        <v>0</v>
      </c>
      <c r="G11" s="7">
        <v>0</v>
      </c>
      <c r="I11" s="36" t="s">
        <v>23</v>
      </c>
      <c r="J11" s="4">
        <v>0.86010714536337596</v>
      </c>
      <c r="K11" s="4">
        <v>11</v>
      </c>
      <c r="N11" s="4" t="s">
        <v>23</v>
      </c>
      <c r="O11" s="116">
        <v>0.86010714536337596</v>
      </c>
      <c r="P11" s="116">
        <v>11</v>
      </c>
      <c r="Q11" s="116">
        <f t="shared" si="0"/>
        <v>9.4611785989971349</v>
      </c>
    </row>
    <row r="12" spans="2:17" ht="17.5" x14ac:dyDescent="0.35">
      <c r="B12" s="7" t="s">
        <v>136</v>
      </c>
      <c r="C12" s="110">
        <v>4.2435707913783503E-3</v>
      </c>
      <c r="D12" s="7">
        <v>6</v>
      </c>
      <c r="E12" s="7">
        <v>14</v>
      </c>
      <c r="F12" s="7">
        <v>0</v>
      </c>
      <c r="G12" s="7">
        <v>0</v>
      </c>
      <c r="O12" s="21">
        <f>SUM(O3:O11)</f>
        <v>1236.6336603053676</v>
      </c>
      <c r="Q12" s="103">
        <f>SUM(Q3:Q11)</f>
        <v>4432.9764702917</v>
      </c>
    </row>
    <row r="13" spans="2:17" ht="18" thickBot="1" x14ac:dyDescent="0.4">
      <c r="B13" s="8" t="s">
        <v>137</v>
      </c>
      <c r="C13" s="111">
        <v>6.5350002239440599E-4</v>
      </c>
      <c r="D13" s="8">
        <v>7</v>
      </c>
      <c r="E13" s="8">
        <v>16</v>
      </c>
      <c r="F13" s="8">
        <v>0</v>
      </c>
      <c r="G13" s="8">
        <v>0</v>
      </c>
      <c r="O13" s="22">
        <v>1316</v>
      </c>
      <c r="P13" s="21">
        <f>O13*3.5</f>
        <v>4606</v>
      </c>
    </row>
    <row r="14" spans="2:17" x14ac:dyDescent="0.35">
      <c r="C14" s="98"/>
      <c r="O14" s="21">
        <f>O12*3.503</f>
        <v>4331.9277120497027</v>
      </c>
      <c r="P14" s="21">
        <f>Q12/P13</f>
        <v>0.96243518677631346</v>
      </c>
      <c r="Q14" s="21">
        <f>O14/Q12</f>
        <v>0.97720521213699374</v>
      </c>
    </row>
    <row r="17" spans="10:19" ht="32.25" customHeight="1" x14ac:dyDescent="0.35">
      <c r="N17" s="108" t="s">
        <v>138</v>
      </c>
      <c r="O17" s="108" t="s">
        <v>110</v>
      </c>
      <c r="P17" s="108" t="s">
        <v>111</v>
      </c>
      <c r="Q17" s="108" t="s">
        <v>112</v>
      </c>
      <c r="R17" s="9"/>
      <c r="S17" s="9"/>
    </row>
    <row r="18" spans="10:19" ht="16" thickBot="1" x14ac:dyDescent="0.4">
      <c r="J18" s="21">
        <f>610663872.800338/9</f>
        <v>67851541.422259778</v>
      </c>
      <c r="N18" s="10" t="s">
        <v>12</v>
      </c>
      <c r="O18" s="12">
        <v>55.318341819445898</v>
      </c>
      <c r="P18" s="12">
        <v>0</v>
      </c>
      <c r="Q18" s="12">
        <f>O18-P18</f>
        <v>55.318341819445898</v>
      </c>
      <c r="R18" s="9">
        <v>55.318341819445898</v>
      </c>
      <c r="S18" s="9">
        <f>R18-O18</f>
        <v>0</v>
      </c>
    </row>
    <row r="19" spans="10:19" ht="16" thickBot="1" x14ac:dyDescent="0.4">
      <c r="N19" s="10" t="s">
        <v>117</v>
      </c>
      <c r="O19" s="12">
        <v>19062.563249781757</v>
      </c>
      <c r="P19" s="12">
        <f>Q19-O19</f>
        <v>2543.1064267593429</v>
      </c>
      <c r="Q19" s="12">
        <v>21605.6696765411</v>
      </c>
      <c r="R19" s="9">
        <v>21605.6696765411</v>
      </c>
      <c r="S19" s="9"/>
    </row>
    <row r="20" spans="10:19" ht="16" thickBot="1" x14ac:dyDescent="0.4">
      <c r="K20" s="21">
        <v>19039.970815131601</v>
      </c>
      <c r="N20" s="10" t="s">
        <v>13</v>
      </c>
      <c r="O20" s="12">
        <v>661.395478761851</v>
      </c>
      <c r="P20" s="12">
        <v>661.395478761851</v>
      </c>
      <c r="Q20" s="12">
        <v>0</v>
      </c>
      <c r="R20" s="9">
        <v>0</v>
      </c>
      <c r="S20" s="9"/>
    </row>
    <row r="21" spans="10:19" ht="16" thickBot="1" x14ac:dyDescent="0.4">
      <c r="K21" s="21">
        <f>22.5924346501564</f>
        <v>22.592434650156399</v>
      </c>
      <c r="N21" s="10" t="s">
        <v>15</v>
      </c>
      <c r="O21" s="12">
        <v>133.69988930424401</v>
      </c>
      <c r="P21" s="12">
        <v>133.69988930424401</v>
      </c>
      <c r="Q21" s="12">
        <v>0</v>
      </c>
      <c r="R21" s="9">
        <v>0</v>
      </c>
      <c r="S21" s="9"/>
    </row>
    <row r="22" spans="10:19" ht="16" thickBot="1" x14ac:dyDescent="0.4">
      <c r="K22" s="21">
        <f>K20+K21</f>
        <v>19062.563249781757</v>
      </c>
      <c r="N22" s="10" t="s">
        <v>17</v>
      </c>
      <c r="O22" s="12">
        <v>221.922177626409</v>
      </c>
      <c r="P22" s="12">
        <v>221.922177626409</v>
      </c>
      <c r="Q22" s="12">
        <v>0</v>
      </c>
      <c r="R22" s="9">
        <v>0</v>
      </c>
      <c r="S22" s="9"/>
    </row>
    <row r="23" spans="10:19" ht="16" thickBot="1" x14ac:dyDescent="0.4">
      <c r="K23" s="21">
        <f>701013134.95/0.9</f>
        <v>778903483.27777779</v>
      </c>
      <c r="N23" s="10" t="s">
        <v>18</v>
      </c>
      <c r="O23" s="12">
        <v>53.302238790503701</v>
      </c>
      <c r="P23" s="12">
        <v>53.302238790503701</v>
      </c>
      <c r="Q23" s="12">
        <v>0</v>
      </c>
      <c r="R23" s="9">
        <v>0</v>
      </c>
      <c r="S23" s="9"/>
    </row>
    <row r="24" spans="10:19" ht="16" thickBot="1" x14ac:dyDescent="0.4">
      <c r="N24" s="10" t="s">
        <v>19</v>
      </c>
      <c r="O24" s="12">
        <v>103.539107822847</v>
      </c>
      <c r="P24" s="12">
        <v>103.539107822847</v>
      </c>
      <c r="Q24" s="12">
        <v>0</v>
      </c>
      <c r="R24" s="9">
        <v>0</v>
      </c>
      <c r="S24" s="9"/>
    </row>
    <row r="25" spans="10:19" ht="16" thickBot="1" x14ac:dyDescent="0.4">
      <c r="N25" s="10" t="s">
        <v>20</v>
      </c>
      <c r="O25" s="12">
        <v>37.026077551668699</v>
      </c>
      <c r="P25" s="12">
        <v>37.026077551668699</v>
      </c>
      <c r="Q25" s="12">
        <v>0</v>
      </c>
      <c r="R25" s="9">
        <v>0</v>
      </c>
      <c r="S25" s="9"/>
    </row>
    <row r="26" spans="10:19" ht="16" thickBot="1" x14ac:dyDescent="0.4">
      <c r="N26" s="10" t="s">
        <v>21</v>
      </c>
      <c r="O26" s="12">
        <v>19.303387534397199</v>
      </c>
      <c r="P26" s="12">
        <v>19.303387534397199</v>
      </c>
      <c r="Q26" s="12">
        <v>0</v>
      </c>
      <c r="R26" s="9">
        <v>0</v>
      </c>
      <c r="S26" s="9"/>
    </row>
    <row r="27" spans="10:19" ht="16" thickBot="1" x14ac:dyDescent="0.4">
      <c r="N27" s="10" t="s">
        <v>22</v>
      </c>
      <c r="O27" s="12">
        <v>5.5851957680836897</v>
      </c>
      <c r="P27" s="12">
        <v>5.5851957680836897</v>
      </c>
      <c r="Q27" s="12">
        <v>0</v>
      </c>
      <c r="R27" s="9">
        <v>0</v>
      </c>
      <c r="S27" s="9"/>
    </row>
    <row r="28" spans="10:19" ht="16" thickBot="1" x14ac:dyDescent="0.4">
      <c r="N28" s="10" t="s">
        <v>23</v>
      </c>
      <c r="O28" s="12">
        <v>0.86010714536337596</v>
      </c>
      <c r="P28" s="12">
        <v>0.86010714536337596</v>
      </c>
      <c r="Q28" s="12">
        <v>0</v>
      </c>
      <c r="R28" s="9">
        <v>0</v>
      </c>
      <c r="S28" s="9"/>
    </row>
    <row r="29" spans="10:19" ht="16" thickBot="1" x14ac:dyDescent="0.4">
      <c r="N29" s="10" t="s">
        <v>16</v>
      </c>
      <c r="O29" s="12">
        <v>1.6102929708189599</v>
      </c>
      <c r="P29" s="12">
        <f>Q29-O29</f>
        <v>3779.8501667443911</v>
      </c>
      <c r="Q29" s="12">
        <v>3781.4604597152102</v>
      </c>
      <c r="R29" s="9">
        <v>3781.4604597152102</v>
      </c>
      <c r="S29" s="9"/>
    </row>
    <row r="30" spans="10:19" x14ac:dyDescent="0.35">
      <c r="R30" s="9"/>
      <c r="S30" s="9"/>
    </row>
  </sheetData>
  <mergeCells count="2">
    <mergeCell ref="B2:C2"/>
    <mergeCell ref="D2:G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7EBF-ABD7-48EE-8C11-9D8678CAA1A5}">
  <dimension ref="A1:M32"/>
  <sheetViews>
    <sheetView zoomScale="91" zoomScaleNormal="40" workbookViewId="0">
      <selection activeCell="O20" sqref="O20"/>
    </sheetView>
  </sheetViews>
  <sheetFormatPr baseColWidth="10" defaultColWidth="11.54296875" defaultRowHeight="15.5" x14ac:dyDescent="0.35"/>
  <cols>
    <col min="1" max="2" width="11.54296875" style="21"/>
    <col min="3" max="3" width="20.1796875" style="21" bestFit="1" customWidth="1"/>
    <col min="4" max="4" width="23.453125" style="21" customWidth="1"/>
    <col min="5" max="5" width="27.81640625" style="21" customWidth="1"/>
    <col min="6" max="6" width="34.26953125" style="21" bestFit="1" customWidth="1"/>
    <col min="7" max="16384" width="11.54296875" style="21"/>
  </cols>
  <sheetData>
    <row r="1" spans="1:13" ht="16" thickBot="1" x14ac:dyDescent="0.4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3" ht="16" thickBot="1" x14ac:dyDescent="0.4">
      <c r="A2" s="115"/>
      <c r="B2" s="115"/>
      <c r="C2" s="13" t="s">
        <v>104</v>
      </c>
      <c r="D2" s="13" t="s">
        <v>105</v>
      </c>
      <c r="E2" s="13" t="e" vm="1">
        <v>#VALUE!</v>
      </c>
      <c r="F2" s="13" t="s">
        <v>139</v>
      </c>
      <c r="G2" s="115"/>
      <c r="H2" s="2" t="s">
        <v>140</v>
      </c>
      <c r="I2" s="2">
        <v>36.878894546297303</v>
      </c>
      <c r="J2" s="2">
        <v>55.318341819445898</v>
      </c>
      <c r="K2" s="2">
        <v>0</v>
      </c>
      <c r="L2" s="2">
        <f>SUM(I2:J2)</f>
        <v>92.197236365743208</v>
      </c>
      <c r="M2" s="115"/>
    </row>
    <row r="3" spans="1:13" x14ac:dyDescent="0.35">
      <c r="A3" s="115"/>
      <c r="B3" s="115"/>
      <c r="C3" s="7" t="s">
        <v>13</v>
      </c>
      <c r="D3" s="14">
        <v>440.93031917456699</v>
      </c>
      <c r="E3" s="14">
        <v>2</v>
      </c>
      <c r="F3" s="14">
        <f>D3*E3</f>
        <v>881.86063834913398</v>
      </c>
      <c r="G3" s="115"/>
      <c r="H3" s="2" t="s">
        <v>41</v>
      </c>
      <c r="I3" s="2">
        <v>15.0616231001042</v>
      </c>
      <c r="J3" s="2">
        <v>21605.6696765411</v>
      </c>
      <c r="K3" s="2">
        <v>0</v>
      </c>
      <c r="L3" s="2">
        <f t="shared" ref="L3:L13" si="0">SUM(I3:J3)</f>
        <v>21620.731299641204</v>
      </c>
      <c r="M3" s="115"/>
    </row>
    <row r="4" spans="1:13" x14ac:dyDescent="0.35">
      <c r="A4" s="115"/>
      <c r="B4" s="115"/>
      <c r="C4" s="7" t="s">
        <v>15</v>
      </c>
      <c r="D4" s="14">
        <v>89.133259536162797</v>
      </c>
      <c r="E4" s="14">
        <v>3.5</v>
      </c>
      <c r="F4" s="14">
        <f t="shared" ref="F4:F11" si="1">D4*E4</f>
        <v>311.9664083765698</v>
      </c>
      <c r="G4" s="115"/>
      <c r="H4" s="2" t="s">
        <v>108</v>
      </c>
      <c r="I4" s="2">
        <v>440.93031917456699</v>
      </c>
      <c r="J4" s="2">
        <v>0</v>
      </c>
      <c r="K4" s="2">
        <v>0</v>
      </c>
      <c r="L4" s="2">
        <f t="shared" si="0"/>
        <v>440.93031917456699</v>
      </c>
      <c r="M4" s="115"/>
    </row>
    <row r="5" spans="1:13" x14ac:dyDescent="0.35">
      <c r="A5" s="115"/>
      <c r="B5" s="115"/>
      <c r="C5" s="7" t="s">
        <v>17</v>
      </c>
      <c r="D5" s="14">
        <v>147.948118417606</v>
      </c>
      <c r="E5" s="14">
        <v>5</v>
      </c>
      <c r="F5" s="14">
        <f t="shared" si="1"/>
        <v>739.74059208802998</v>
      </c>
      <c r="G5" s="115"/>
      <c r="H5" s="2" t="s">
        <v>113</v>
      </c>
      <c r="I5" s="2">
        <v>89.133259536162797</v>
      </c>
      <c r="J5" s="2">
        <v>0</v>
      </c>
      <c r="K5" s="2">
        <v>0</v>
      </c>
      <c r="L5" s="2">
        <f t="shared" si="0"/>
        <v>89.133259536162797</v>
      </c>
      <c r="M5" s="115"/>
    </row>
    <row r="6" spans="1:13" x14ac:dyDescent="0.35">
      <c r="A6" s="115"/>
      <c r="B6" s="115"/>
      <c r="C6" s="7" t="s">
        <v>18</v>
      </c>
      <c r="D6" s="14">
        <v>35.5348258603358</v>
      </c>
      <c r="E6" s="14">
        <v>6.5</v>
      </c>
      <c r="F6" s="14">
        <f t="shared" si="1"/>
        <v>230.9763680921827</v>
      </c>
      <c r="G6" s="115"/>
      <c r="H6" s="2" t="s">
        <v>114</v>
      </c>
      <c r="I6" s="2">
        <v>147.948118417606</v>
      </c>
      <c r="J6" s="2">
        <v>0</v>
      </c>
      <c r="K6" s="2">
        <v>0</v>
      </c>
      <c r="L6" s="2">
        <f t="shared" si="0"/>
        <v>147.948118417606</v>
      </c>
      <c r="M6" s="115"/>
    </row>
    <row r="7" spans="1:13" x14ac:dyDescent="0.35">
      <c r="A7" s="115"/>
      <c r="B7" s="115"/>
      <c r="C7" s="7" t="s">
        <v>19</v>
      </c>
      <c r="D7" s="14">
        <v>69.026071881898105</v>
      </c>
      <c r="E7" s="14">
        <v>6.5</v>
      </c>
      <c r="F7" s="14">
        <f t="shared" si="1"/>
        <v>448.66946723233769</v>
      </c>
      <c r="G7" s="115"/>
      <c r="H7" s="2" t="s">
        <v>115</v>
      </c>
      <c r="I7" s="2">
        <v>35.5348258603358</v>
      </c>
      <c r="J7" s="2">
        <v>0</v>
      </c>
      <c r="K7" s="2">
        <v>0</v>
      </c>
      <c r="L7" s="2">
        <f t="shared" si="0"/>
        <v>35.5348258603358</v>
      </c>
      <c r="M7" s="115"/>
    </row>
    <row r="8" spans="1:13" x14ac:dyDescent="0.35">
      <c r="A8" s="115"/>
      <c r="B8" s="115"/>
      <c r="C8" s="7" t="s">
        <v>20</v>
      </c>
      <c r="D8" s="14">
        <v>24.684051701112502</v>
      </c>
      <c r="E8" s="14">
        <v>8</v>
      </c>
      <c r="F8" s="14">
        <f t="shared" si="1"/>
        <v>197.47241360890001</v>
      </c>
      <c r="G8" s="115"/>
      <c r="H8" s="2" t="s">
        <v>116</v>
      </c>
      <c r="I8" s="2">
        <v>69.026071881898105</v>
      </c>
      <c r="J8" s="2">
        <v>0</v>
      </c>
      <c r="K8" s="2">
        <v>0</v>
      </c>
      <c r="L8" s="2">
        <f t="shared" si="0"/>
        <v>69.026071881898105</v>
      </c>
      <c r="M8" s="115"/>
    </row>
    <row r="9" spans="1:13" x14ac:dyDescent="0.35">
      <c r="A9" s="115"/>
      <c r="B9" s="115"/>
      <c r="C9" s="7" t="s">
        <v>21</v>
      </c>
      <c r="D9" s="14">
        <v>12.868925022931499</v>
      </c>
      <c r="E9" s="14">
        <v>8</v>
      </c>
      <c r="F9" s="14">
        <f t="shared" si="1"/>
        <v>102.95140018345199</v>
      </c>
      <c r="G9" s="115"/>
      <c r="H9" s="2" t="s">
        <v>118</v>
      </c>
      <c r="I9" s="2">
        <v>24.684051701112502</v>
      </c>
      <c r="J9" s="2">
        <v>0</v>
      </c>
      <c r="K9" s="2">
        <v>0</v>
      </c>
      <c r="L9" s="2">
        <f t="shared" si="0"/>
        <v>24.684051701112502</v>
      </c>
      <c r="M9" s="115"/>
    </row>
    <row r="10" spans="1:13" x14ac:dyDescent="0.35">
      <c r="A10" s="115"/>
      <c r="B10" s="115"/>
      <c r="C10" s="7" t="s">
        <v>22</v>
      </c>
      <c r="D10" s="14">
        <v>3.72346384538913</v>
      </c>
      <c r="E10" s="14">
        <v>9.5</v>
      </c>
      <c r="F10" s="14">
        <f t="shared" si="1"/>
        <v>35.372906531196733</v>
      </c>
      <c r="G10" s="115"/>
      <c r="H10" s="2" t="s">
        <v>119</v>
      </c>
      <c r="I10" s="2">
        <v>12.868925022931499</v>
      </c>
      <c r="J10" s="2">
        <v>0</v>
      </c>
      <c r="K10" s="2">
        <v>0</v>
      </c>
      <c r="L10" s="2">
        <f t="shared" si="0"/>
        <v>12.868925022931499</v>
      </c>
      <c r="M10" s="115"/>
    </row>
    <row r="11" spans="1:13" ht="16" thickBot="1" x14ac:dyDescent="0.4">
      <c r="A11" s="115"/>
      <c r="B11" s="115"/>
      <c r="C11" s="8" t="s">
        <v>23</v>
      </c>
      <c r="D11" s="15">
        <v>0.57340476357558401</v>
      </c>
      <c r="E11" s="15">
        <v>11</v>
      </c>
      <c r="F11" s="15">
        <f t="shared" si="1"/>
        <v>6.3074523993314244</v>
      </c>
      <c r="G11" s="115"/>
      <c r="H11" s="2" t="s">
        <v>120</v>
      </c>
      <c r="I11" s="2">
        <v>3.72346384538913</v>
      </c>
      <c r="J11" s="2">
        <v>0</v>
      </c>
      <c r="K11" s="2">
        <v>0</v>
      </c>
      <c r="L11" s="2">
        <f t="shared" si="0"/>
        <v>3.72346384538913</v>
      </c>
      <c r="M11" s="115"/>
    </row>
    <row r="12" spans="1:13" x14ac:dyDescent="0.35">
      <c r="A12" s="115"/>
      <c r="B12" s="115"/>
      <c r="C12" s="115"/>
      <c r="D12" s="115"/>
      <c r="E12" s="115"/>
      <c r="F12" s="115"/>
      <c r="G12" s="115"/>
      <c r="H12" s="2" t="s">
        <v>121</v>
      </c>
      <c r="I12" s="2">
        <v>0.57340476357558401</v>
      </c>
      <c r="J12" s="2">
        <v>0</v>
      </c>
      <c r="K12" s="2">
        <v>0</v>
      </c>
      <c r="L12" s="2">
        <f t="shared" si="0"/>
        <v>0.57340476357558401</v>
      </c>
      <c r="M12" s="115"/>
    </row>
    <row r="13" spans="1:13" x14ac:dyDescent="0.35">
      <c r="A13" s="115"/>
      <c r="B13" s="115"/>
      <c r="C13" s="115"/>
      <c r="D13" s="115"/>
      <c r="E13" s="115"/>
      <c r="F13" s="115"/>
      <c r="G13" s="115"/>
      <c r="H13" s="2" t="s">
        <v>43</v>
      </c>
      <c r="I13" s="2">
        <v>1.07352864721264</v>
      </c>
      <c r="J13" s="2">
        <v>3781.4604597152102</v>
      </c>
      <c r="K13" s="2">
        <v>87271.152513299094</v>
      </c>
      <c r="L13" s="2">
        <f t="shared" si="0"/>
        <v>3782.5339883624229</v>
      </c>
      <c r="M13" s="115"/>
    </row>
    <row r="14" spans="1:13" ht="16" thickBot="1" x14ac:dyDescent="0.4">
      <c r="A14" s="115"/>
      <c r="B14" s="115"/>
      <c r="C14" s="115"/>
      <c r="D14" s="115"/>
      <c r="E14" s="115"/>
      <c r="F14" s="115"/>
      <c r="G14" s="115"/>
      <c r="H14" s="2" t="s">
        <v>122</v>
      </c>
      <c r="I14" s="2">
        <v>0</v>
      </c>
      <c r="J14" s="2"/>
      <c r="K14" s="2"/>
      <c r="L14" s="2"/>
      <c r="M14" s="115"/>
    </row>
    <row r="15" spans="1:13" ht="34.15" customHeight="1" thickBot="1" x14ac:dyDescent="0.4">
      <c r="A15" s="115"/>
      <c r="B15" s="115"/>
      <c r="C15" s="112" t="s">
        <v>138</v>
      </c>
      <c r="D15" s="112" t="s">
        <v>110</v>
      </c>
      <c r="E15" s="112" t="s">
        <v>111</v>
      </c>
      <c r="F15" s="112" t="s">
        <v>112</v>
      </c>
      <c r="G15" s="115"/>
      <c r="H15" s="2" t="s">
        <v>123</v>
      </c>
      <c r="I15" s="2">
        <v>0</v>
      </c>
      <c r="J15" s="115"/>
      <c r="K15" s="115"/>
      <c r="L15" s="115"/>
      <c r="M15" s="115"/>
    </row>
    <row r="16" spans="1:13" x14ac:dyDescent="0.35">
      <c r="A16" s="115"/>
      <c r="B16" s="115"/>
      <c r="C16" s="16" t="s">
        <v>12</v>
      </c>
      <c r="D16" s="19">
        <v>92.197236365743208</v>
      </c>
      <c r="E16" s="17">
        <v>0</v>
      </c>
      <c r="F16" s="19">
        <v>92.197236365743194</v>
      </c>
      <c r="G16" s="115"/>
      <c r="H16" s="115"/>
      <c r="I16" s="115"/>
      <c r="J16" s="115"/>
      <c r="K16" s="115"/>
      <c r="L16" s="115"/>
      <c r="M16" s="115"/>
    </row>
    <row r="17" spans="1:13" x14ac:dyDescent="0.35">
      <c r="A17" s="115"/>
      <c r="B17" s="115"/>
      <c r="C17" s="16" t="s">
        <v>117</v>
      </c>
      <c r="D17" s="19">
        <v>21620.731299641204</v>
      </c>
      <c r="E17" s="19">
        <f>F17-D17</f>
        <v>1695.4042845061958</v>
      </c>
      <c r="F17" s="19">
        <v>23316.1355841474</v>
      </c>
      <c r="G17" s="115"/>
      <c r="H17" s="115"/>
      <c r="I17" s="115"/>
      <c r="J17" s="115"/>
      <c r="K17" s="115"/>
      <c r="L17" s="115"/>
      <c r="M17" s="115"/>
    </row>
    <row r="18" spans="1:13" x14ac:dyDescent="0.35">
      <c r="A18" s="115"/>
      <c r="B18" s="115"/>
      <c r="C18" s="16" t="s">
        <v>13</v>
      </c>
      <c r="D18" s="19">
        <v>440.93031917456699</v>
      </c>
      <c r="E18" s="19">
        <f>D18-F18</f>
        <v>440.93031917456699</v>
      </c>
      <c r="F18" s="17">
        <v>0</v>
      </c>
      <c r="G18" s="115"/>
      <c r="H18" s="115"/>
      <c r="I18" s="115"/>
      <c r="J18" s="115"/>
      <c r="K18" s="115"/>
      <c r="L18" s="115"/>
      <c r="M18" s="115"/>
    </row>
    <row r="19" spans="1:13" x14ac:dyDescent="0.35">
      <c r="A19" s="115"/>
      <c r="B19" s="115"/>
      <c r="C19" s="16" t="s">
        <v>15</v>
      </c>
      <c r="D19" s="19">
        <v>89.133259536162797</v>
      </c>
      <c r="E19" s="19">
        <f t="shared" ref="E19:E26" si="2">D19-F19</f>
        <v>89.133259536162797</v>
      </c>
      <c r="F19" s="17">
        <v>0</v>
      </c>
      <c r="G19" s="115"/>
      <c r="H19" s="115"/>
      <c r="I19" s="115"/>
      <c r="J19" s="115"/>
      <c r="K19" s="115"/>
      <c r="L19" s="115"/>
      <c r="M19" s="115"/>
    </row>
    <row r="20" spans="1:13" x14ac:dyDescent="0.35">
      <c r="A20" s="115"/>
      <c r="B20" s="115"/>
      <c r="C20" s="16" t="s">
        <v>17</v>
      </c>
      <c r="D20" s="19">
        <v>147.948118417606</v>
      </c>
      <c r="E20" s="19">
        <f t="shared" si="2"/>
        <v>147.948118417606</v>
      </c>
      <c r="F20" s="17">
        <v>0</v>
      </c>
      <c r="G20" s="115"/>
      <c r="H20" s="115"/>
      <c r="I20" s="115"/>
      <c r="J20" s="115"/>
      <c r="K20" s="115"/>
      <c r="L20" s="115"/>
      <c r="M20" s="115"/>
    </row>
    <row r="21" spans="1:13" x14ac:dyDescent="0.35">
      <c r="A21" s="115"/>
      <c r="B21" s="115"/>
      <c r="C21" s="16" t="s">
        <v>18</v>
      </c>
      <c r="D21" s="19">
        <v>35.5348258603358</v>
      </c>
      <c r="E21" s="19">
        <f t="shared" si="2"/>
        <v>35.5348258603358</v>
      </c>
      <c r="F21" s="17">
        <v>0</v>
      </c>
      <c r="G21" s="115"/>
      <c r="H21" s="115"/>
      <c r="I21" s="115"/>
      <c r="J21" s="115"/>
      <c r="K21" s="115"/>
      <c r="L21" s="115"/>
      <c r="M21" s="115"/>
    </row>
    <row r="22" spans="1:13" x14ac:dyDescent="0.35">
      <c r="A22" s="115"/>
      <c r="B22" s="115"/>
      <c r="C22" s="16" t="s">
        <v>19</v>
      </c>
      <c r="D22" s="19">
        <v>69.026071881898105</v>
      </c>
      <c r="E22" s="19">
        <f t="shared" si="2"/>
        <v>69.026071881898105</v>
      </c>
      <c r="F22" s="17">
        <v>0</v>
      </c>
      <c r="G22" s="115"/>
      <c r="H22" s="115"/>
      <c r="I22" s="115"/>
      <c r="J22" s="115"/>
      <c r="K22" s="115"/>
      <c r="L22" s="115"/>
      <c r="M22" s="115"/>
    </row>
    <row r="23" spans="1:13" x14ac:dyDescent="0.35">
      <c r="A23" s="115"/>
      <c r="B23" s="115"/>
      <c r="C23" s="16" t="s">
        <v>20</v>
      </c>
      <c r="D23" s="19">
        <v>24.684051701112502</v>
      </c>
      <c r="E23" s="19">
        <f t="shared" si="2"/>
        <v>24.684051701112502</v>
      </c>
      <c r="F23" s="17">
        <v>0</v>
      </c>
      <c r="G23" s="115"/>
      <c r="H23" s="115"/>
      <c r="I23" s="115"/>
      <c r="J23" s="115"/>
      <c r="K23" s="115"/>
      <c r="L23" s="115"/>
      <c r="M23" s="115"/>
    </row>
    <row r="24" spans="1:13" x14ac:dyDescent="0.35">
      <c r="A24" s="115"/>
      <c r="B24" s="115"/>
      <c r="C24" s="16" t="s">
        <v>21</v>
      </c>
      <c r="D24" s="19">
        <v>12.868925022931499</v>
      </c>
      <c r="E24" s="19">
        <f t="shared" si="2"/>
        <v>12.868925022931499</v>
      </c>
      <c r="F24" s="17">
        <v>0</v>
      </c>
      <c r="G24" s="115"/>
      <c r="H24" s="115"/>
      <c r="I24" s="115"/>
      <c r="J24" s="115"/>
      <c r="K24" s="115"/>
      <c r="L24" s="115"/>
      <c r="M24" s="115"/>
    </row>
    <row r="25" spans="1:13" x14ac:dyDescent="0.35">
      <c r="A25" s="115"/>
      <c r="B25" s="115"/>
      <c r="C25" s="16" t="s">
        <v>22</v>
      </c>
      <c r="D25" s="19">
        <v>3.72346384538913</v>
      </c>
      <c r="E25" s="19">
        <f t="shared" si="2"/>
        <v>3.72346384538913</v>
      </c>
      <c r="F25" s="17">
        <v>0</v>
      </c>
      <c r="G25" s="115"/>
      <c r="H25" s="115"/>
      <c r="I25" s="115"/>
      <c r="J25" s="115"/>
      <c r="K25" s="115"/>
      <c r="L25" s="115"/>
      <c r="M25" s="115"/>
    </row>
    <row r="26" spans="1:13" x14ac:dyDescent="0.35">
      <c r="A26" s="115"/>
      <c r="B26" s="115"/>
      <c r="C26" s="16" t="s">
        <v>23</v>
      </c>
      <c r="D26" s="19">
        <v>0.57340476357558401</v>
      </c>
      <c r="E26" s="19">
        <f t="shared" si="2"/>
        <v>0.57340476357558401</v>
      </c>
      <c r="F26" s="17">
        <v>0</v>
      </c>
      <c r="G26" s="115"/>
      <c r="H26" s="115"/>
      <c r="I26" s="115"/>
      <c r="J26" s="115"/>
      <c r="K26" s="115"/>
      <c r="L26" s="115"/>
      <c r="M26" s="115"/>
    </row>
    <row r="27" spans="1:13" ht="16" thickBot="1" x14ac:dyDescent="0.4">
      <c r="A27" s="115"/>
      <c r="B27" s="115"/>
      <c r="C27" s="18" t="s">
        <v>16</v>
      </c>
      <c r="D27" s="20">
        <v>3782.5339883624229</v>
      </c>
      <c r="E27" s="20">
        <f>F27-D27</f>
        <v>7364.2334866231768</v>
      </c>
      <c r="F27" s="20">
        <v>11146.7674749856</v>
      </c>
      <c r="G27" s="115"/>
      <c r="H27" s="115"/>
      <c r="I27" s="115"/>
      <c r="J27" s="115"/>
      <c r="K27" s="115"/>
      <c r="L27" s="115"/>
      <c r="M27" s="115"/>
    </row>
    <row r="28" spans="1:13" x14ac:dyDescent="0.35">
      <c r="A28" s="115"/>
      <c r="B28" s="115"/>
      <c r="C28" s="115"/>
      <c r="D28" s="115"/>
      <c r="E28" s="115"/>
      <c r="F28" s="115">
        <v>1.89137143784299E-2</v>
      </c>
      <c r="G28" s="115"/>
      <c r="H28" s="115"/>
      <c r="I28" s="115"/>
      <c r="J28" s="115"/>
      <c r="K28" s="115"/>
      <c r="L28" s="115"/>
      <c r="M28" s="115"/>
    </row>
    <row r="29" spans="1:13" x14ac:dyDescent="0.3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</row>
    <row r="30" spans="1:13" x14ac:dyDescent="0.3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</row>
    <row r="31" spans="1:13" x14ac:dyDescent="0.3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</row>
    <row r="32" spans="1:13" x14ac:dyDescent="0.35">
      <c r="A32" s="115"/>
      <c r="B32" s="115"/>
      <c r="C32" s="115"/>
      <c r="D32" s="115"/>
      <c r="E32" s="115"/>
      <c r="F32" s="115"/>
      <c r="G32" s="115"/>
      <c r="H32" s="115"/>
      <c r="M32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B29D-4F58-4742-9A33-DBAF0CD7CFE3}">
  <dimension ref="C4:Q16"/>
  <sheetViews>
    <sheetView tabSelected="1" zoomScale="114" zoomScaleNormal="25" workbookViewId="0"/>
  </sheetViews>
  <sheetFormatPr baseColWidth="10" defaultRowHeight="14.5" x14ac:dyDescent="0.35"/>
  <cols>
    <col min="3" max="3" width="16.26953125" customWidth="1"/>
    <col min="4" max="4" width="20" customWidth="1"/>
    <col min="5" max="5" width="21.54296875" customWidth="1"/>
    <col min="6" max="6" width="16.1796875" customWidth="1"/>
    <col min="16" max="16" width="15" customWidth="1"/>
  </cols>
  <sheetData>
    <row r="4" spans="3:17" ht="29" x14ac:dyDescent="0.35">
      <c r="C4" s="117" t="s">
        <v>142</v>
      </c>
      <c r="D4" s="117" t="s">
        <v>124</v>
      </c>
      <c r="E4" s="117" t="s">
        <v>143</v>
      </c>
      <c r="F4" s="117" t="s">
        <v>144</v>
      </c>
    </row>
    <row r="5" spans="3:17" x14ac:dyDescent="0.35">
      <c r="C5" s="118">
        <v>1300</v>
      </c>
      <c r="D5" s="118" t="s">
        <v>146</v>
      </c>
      <c r="E5" s="118">
        <v>55.7</v>
      </c>
      <c r="F5" s="118">
        <v>68.7</v>
      </c>
    </row>
    <row r="6" spans="3:17" x14ac:dyDescent="0.35">
      <c r="C6" s="118">
        <v>1300</v>
      </c>
      <c r="D6" s="118" t="s">
        <v>147</v>
      </c>
      <c r="E6" s="118">
        <v>51.3</v>
      </c>
      <c r="F6" s="118">
        <v>63.3</v>
      </c>
    </row>
    <row r="7" spans="3:17" ht="28.5" x14ac:dyDescent="0.35">
      <c r="C7" s="118">
        <v>1500</v>
      </c>
      <c r="D7" s="118" t="s">
        <v>148</v>
      </c>
      <c r="E7" s="118">
        <v>59.2</v>
      </c>
      <c r="F7" s="118">
        <v>71.2</v>
      </c>
      <c r="P7" s="120" t="s">
        <v>104</v>
      </c>
      <c r="Q7" s="120" t="s">
        <v>141</v>
      </c>
    </row>
    <row r="8" spans="3:17" x14ac:dyDescent="0.35">
      <c r="C8" s="118">
        <v>1500</v>
      </c>
      <c r="D8" s="118" t="s">
        <v>149</v>
      </c>
      <c r="E8" s="118">
        <v>55.5</v>
      </c>
      <c r="F8" s="118">
        <v>66.5</v>
      </c>
      <c r="P8" s="119" t="s">
        <v>13</v>
      </c>
      <c r="Q8" s="121">
        <v>2</v>
      </c>
    </row>
    <row r="9" spans="3:17" x14ac:dyDescent="0.35">
      <c r="C9" s="118">
        <v>1300</v>
      </c>
      <c r="D9" s="118" t="s">
        <v>150</v>
      </c>
      <c r="E9" s="118">
        <v>55.2</v>
      </c>
      <c r="F9" s="118">
        <v>66.400000000000006</v>
      </c>
      <c r="P9" s="119" t="s">
        <v>15</v>
      </c>
      <c r="Q9" s="121">
        <v>3.5</v>
      </c>
    </row>
    <row r="10" spans="3:17" x14ac:dyDescent="0.35">
      <c r="C10" s="118">
        <v>1300</v>
      </c>
      <c r="D10" s="118" t="s">
        <v>146</v>
      </c>
      <c r="E10" s="118">
        <v>48.2</v>
      </c>
      <c r="F10" s="118">
        <v>59.5</v>
      </c>
      <c r="P10" s="119" t="s">
        <v>17</v>
      </c>
      <c r="Q10" s="121">
        <v>5</v>
      </c>
    </row>
    <row r="11" spans="3:17" x14ac:dyDescent="0.35">
      <c r="C11" s="118">
        <v>1300</v>
      </c>
      <c r="D11" s="118" t="s">
        <v>151</v>
      </c>
      <c r="E11" s="118">
        <v>51.1</v>
      </c>
      <c r="F11" s="118">
        <v>63</v>
      </c>
      <c r="P11" s="119" t="s">
        <v>18</v>
      </c>
      <c r="Q11" s="121">
        <v>6.5</v>
      </c>
    </row>
    <row r="12" spans="3:17" x14ac:dyDescent="0.35">
      <c r="C12" s="118">
        <v>1300</v>
      </c>
      <c r="D12" s="118" t="s">
        <v>13</v>
      </c>
      <c r="E12" s="118">
        <v>55.3</v>
      </c>
      <c r="F12" s="118">
        <v>66.5</v>
      </c>
      <c r="P12" s="119" t="s">
        <v>19</v>
      </c>
      <c r="Q12" s="121">
        <v>6.5</v>
      </c>
    </row>
    <row r="13" spans="3:17" x14ac:dyDescent="0.35">
      <c r="C13" s="118">
        <v>1400</v>
      </c>
      <c r="D13" s="118" t="s">
        <v>145</v>
      </c>
      <c r="E13" s="118">
        <v>40</v>
      </c>
      <c r="F13" s="118">
        <v>53.2</v>
      </c>
      <c r="P13" s="119" t="s">
        <v>20</v>
      </c>
      <c r="Q13" s="121">
        <v>8</v>
      </c>
    </row>
    <row r="14" spans="3:17" x14ac:dyDescent="0.35">
      <c r="C14" s="118">
        <v>1400</v>
      </c>
      <c r="D14" s="118" t="s">
        <v>145</v>
      </c>
      <c r="E14" s="118">
        <v>33.1</v>
      </c>
      <c r="F14" s="118">
        <v>44</v>
      </c>
      <c r="P14" s="119" t="s">
        <v>21</v>
      </c>
      <c r="Q14" s="121">
        <v>8</v>
      </c>
    </row>
    <row r="15" spans="3:17" x14ac:dyDescent="0.35">
      <c r="P15" s="119" t="s">
        <v>22</v>
      </c>
      <c r="Q15" s="121">
        <v>9.5</v>
      </c>
    </row>
    <row r="16" spans="3:17" x14ac:dyDescent="0.35">
      <c r="P16" s="119" t="s">
        <v>23</v>
      </c>
      <c r="Q16" s="121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Composición</vt:lpstr>
      <vt:lpstr>Destilación</vt:lpstr>
      <vt:lpstr>Mezcla de bloques</vt:lpstr>
      <vt:lpstr>Análisis Elemental</vt:lpstr>
      <vt:lpstr>Reacciones</vt:lpstr>
      <vt:lpstr>Componentes</vt:lpstr>
      <vt:lpstr>Flujos</vt:lpstr>
      <vt:lpstr>Eficiencias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JOEL NUNEZ QUISHPE</dc:creator>
  <cp:keywords/>
  <dc:description/>
  <cp:lastModifiedBy>Gonzalo Chiriboga Gavidia</cp:lastModifiedBy>
  <cp:revision/>
  <dcterms:created xsi:type="dcterms:W3CDTF">2023-09-19T18:53:54Z</dcterms:created>
  <dcterms:modified xsi:type="dcterms:W3CDTF">2026-02-27T15:57:36Z</dcterms:modified>
  <cp:category/>
  <cp:contentStatus/>
</cp:coreProperties>
</file>