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Mi unidad\UCE Drive\Docencia\2025 2025\Tesis\Brandon\Supplementary Material\CALCULOS\Calculos de la Tesis\"/>
    </mc:Choice>
  </mc:AlternateContent>
  <xr:revisionPtr revIDLastSave="0" documentId="13_ncr:1_{76ADDDE3-5C36-4B07-A8E4-87E447DA55B7}" xr6:coauthVersionLast="47" xr6:coauthVersionMax="47" xr10:uidLastSave="{00000000-0000-0000-0000-000000000000}"/>
  <bookViews>
    <workbookView xWindow="-110" yWindow="-110" windowWidth="19420" windowHeight="10300" xr2:uid="{246F799B-954E-49F1-84BC-E1F2D78C952F}"/>
  </bookViews>
  <sheets>
    <sheet name="Multicriterio Anális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" i="1" l="1"/>
  <c r="K21" i="1" s="1"/>
  <c r="D36" i="1"/>
  <c r="D39" i="1"/>
  <c r="E41" i="1"/>
  <c r="D38" i="1" l="1"/>
  <c r="E36" i="1"/>
  <c r="M11" i="1"/>
  <c r="K23" i="1" s="1"/>
  <c r="E51" i="1"/>
  <c r="F51" i="1"/>
  <c r="G51" i="1"/>
  <c r="H51" i="1"/>
  <c r="I51" i="1"/>
  <c r="J51" i="1"/>
  <c r="K51" i="1"/>
  <c r="L51" i="1"/>
  <c r="D51" i="1"/>
  <c r="E37" i="1"/>
  <c r="E38" i="1"/>
  <c r="E39" i="1"/>
  <c r="E40" i="1"/>
  <c r="E42" i="1"/>
  <c r="E43" i="1"/>
  <c r="E44" i="1"/>
  <c r="D37" i="1"/>
  <c r="D40" i="1"/>
  <c r="D41" i="1"/>
  <c r="D42" i="1"/>
  <c r="D43" i="1"/>
  <c r="D44" i="1"/>
  <c r="M10" i="1"/>
  <c r="K22" i="1" s="1"/>
  <c r="N10" i="1"/>
  <c r="L22" i="1" s="1"/>
  <c r="O10" i="1"/>
  <c r="M22" i="1" s="1"/>
  <c r="N11" i="1"/>
  <c r="L23" i="1" s="1"/>
  <c r="O11" i="1"/>
  <c r="M23" i="1" s="1"/>
  <c r="M12" i="1"/>
  <c r="K24" i="1" s="1"/>
  <c r="N12" i="1"/>
  <c r="L24" i="1" s="1"/>
  <c r="O12" i="1"/>
  <c r="M24" i="1" s="1"/>
  <c r="M13" i="1"/>
  <c r="K25" i="1" s="1"/>
  <c r="N13" i="1"/>
  <c r="L25" i="1" s="1"/>
  <c r="O13" i="1"/>
  <c r="M25" i="1" s="1"/>
  <c r="M14" i="1"/>
  <c r="K26" i="1" s="1"/>
  <c r="N14" i="1"/>
  <c r="L26" i="1" s="1"/>
  <c r="O14" i="1"/>
  <c r="M26" i="1" s="1"/>
  <c r="M15" i="1"/>
  <c r="K27" i="1" s="1"/>
  <c r="N15" i="1"/>
  <c r="L27" i="1" s="1"/>
  <c r="O15" i="1"/>
  <c r="M27" i="1" s="1"/>
  <c r="M16" i="1"/>
  <c r="K28" i="1" s="1"/>
  <c r="N16" i="1"/>
  <c r="L28" i="1" s="1"/>
  <c r="O16" i="1"/>
  <c r="M28" i="1" s="1"/>
  <c r="M17" i="1"/>
  <c r="K29" i="1" s="1"/>
  <c r="N17" i="1"/>
  <c r="L29" i="1" s="1"/>
  <c r="O17" i="1"/>
  <c r="M29" i="1" s="1"/>
  <c r="N9" i="1"/>
  <c r="L21" i="1" s="1"/>
  <c r="O9" i="1"/>
  <c r="M21" i="1" s="1"/>
  <c r="N21" i="1" l="1"/>
  <c r="N23" i="1"/>
  <c r="N29" i="1"/>
  <c r="N25" i="1"/>
  <c r="N26" i="1"/>
  <c r="N22" i="1"/>
  <c r="N28" i="1"/>
  <c r="N27" i="1"/>
  <c r="N24" i="1"/>
</calcChain>
</file>

<file path=xl/sharedStrings.xml><?xml version="1.0" encoding="utf-8"?>
<sst xmlns="http://schemas.openxmlformats.org/spreadsheetml/2006/main" count="126" uniqueCount="73">
  <si>
    <t>UNIVERSIDAD CENTRAL DEL ECUADOR</t>
  </si>
  <si>
    <t>FACULTAD DE INGENIERÍA QUÍMICA</t>
  </si>
  <si>
    <t>CARRERA DE INGENIERÍA QUÍIMICA</t>
  </si>
  <si>
    <t>Pozo</t>
  </si>
  <si>
    <t>Metano (%)</t>
  </si>
  <si>
    <t>Hidrocarburos Pesados (%)</t>
  </si>
  <si>
    <t>Contaminantes (%)</t>
  </si>
  <si>
    <t>Poder Calorífico Inferior (BTU/lbm)</t>
  </si>
  <si>
    <t>Volumen Producido (MSCFD)</t>
  </si>
  <si>
    <t>Poder Calorífico Inferior (Btu/lbm)</t>
  </si>
  <si>
    <t>Pozo A</t>
  </si>
  <si>
    <t>A</t>
  </si>
  <si>
    <t>18707.00</t>
  </si>
  <si>
    <t>6240.96</t>
  </si>
  <si>
    <t>Pozo B</t>
  </si>
  <si>
    <t>B</t>
  </si>
  <si>
    <t>18168.00</t>
  </si>
  <si>
    <t>4381.15</t>
  </si>
  <si>
    <t>Pozo C</t>
  </si>
  <si>
    <t>C</t>
  </si>
  <si>
    <t>19298.00</t>
  </si>
  <si>
    <t>2053.74</t>
  </si>
  <si>
    <t>Pozo D</t>
  </si>
  <si>
    <t>D</t>
  </si>
  <si>
    <t>19171.00</t>
  </si>
  <si>
    <t>1003.30</t>
  </si>
  <si>
    <t>Pozo E</t>
  </si>
  <si>
    <t>E</t>
  </si>
  <si>
    <t>19309.00</t>
  </si>
  <si>
    <t>18696.64</t>
  </si>
  <si>
    <t>Pozo F</t>
  </si>
  <si>
    <t>F</t>
  </si>
  <si>
    <t>19314.00</t>
  </si>
  <si>
    <t>9060.94</t>
  </si>
  <si>
    <t>Pozo G</t>
  </si>
  <si>
    <t>G</t>
  </si>
  <si>
    <t>18330.00</t>
  </si>
  <si>
    <t>7010.07</t>
  </si>
  <si>
    <t>Pozo H</t>
  </si>
  <si>
    <t>H</t>
  </si>
  <si>
    <t>19085.00</t>
  </si>
  <si>
    <t>3459.79</t>
  </si>
  <si>
    <t>Pozo I</t>
  </si>
  <si>
    <t>I</t>
  </si>
  <si>
    <t>19466.00</t>
  </si>
  <si>
    <t>29240.52</t>
  </si>
  <si>
    <t xml:space="preserve">Criterios </t>
  </si>
  <si>
    <t xml:space="preserve">Composición y Calidad: </t>
  </si>
  <si>
    <t>Poder Calorífico Inferior</t>
  </si>
  <si>
    <t>Volumen Producido por Día (MSCFD)</t>
  </si>
  <si>
    <t xml:space="preserve">Bloque </t>
  </si>
  <si>
    <t>Puntaje Metano</t>
  </si>
  <si>
    <t>Puntaje Hidrocarburos</t>
  </si>
  <si>
    <t>Puntaje Contaminantes</t>
  </si>
  <si>
    <t>Puntaje Composición y Calidad</t>
  </si>
  <si>
    <t>%</t>
  </si>
  <si>
    <t>Criterio</t>
  </si>
  <si>
    <t>Composición y Calidad</t>
  </si>
  <si>
    <t>Volumen Producido por Día</t>
  </si>
  <si>
    <t>Puntuación Total</t>
  </si>
  <si>
    <t>Peso</t>
  </si>
  <si>
    <t>BLOQUE 18</t>
  </si>
  <si>
    <t>BLOQUE 12</t>
  </si>
  <si>
    <t>BLOQUE 43</t>
  </si>
  <si>
    <t>BLOQUE 56</t>
  </si>
  <si>
    <t>BLOQUE 60</t>
  </si>
  <si>
    <t>BLOQUE 61</t>
  </si>
  <si>
    <t>BLOQUE  07</t>
  </si>
  <si>
    <t>BLOQUE 15</t>
  </si>
  <si>
    <t>BLOQUE 57</t>
  </si>
  <si>
    <t>MINIMO</t>
  </si>
  <si>
    <t>MAXIMO</t>
  </si>
  <si>
    <t>bloque 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</si>
</sst>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Arial"/>
      <family val="2"/>
    </font>
    <font>
      <b/>
      <sz val="12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2" fontId="4" fillId="0" borderId="1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2" fontId="4" fillId="2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9" fontId="4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/>
    </xf>
    <xf numFmtId="0" fontId="3" fillId="4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2" fontId="4" fillId="5" borderId="1" xfId="0" applyNumberFormat="1" applyFont="1" applyFill="1" applyBorder="1" applyAlignment="1">
      <alignment horizontal="center"/>
    </xf>
    <xf numFmtId="2" fontId="0" fillId="0" borderId="1" xfId="0" applyNumberFormat="1" applyBorder="1"/>
    <xf numFmtId="0" fontId="2" fillId="3" borderId="1" xfId="0" applyFont="1" applyFill="1" applyBorder="1" applyAlignment="1">
      <alignment horizontal="center" wrapText="1"/>
    </xf>
    <xf numFmtId="2" fontId="4" fillId="6" borderId="1" xfId="0" applyNumberFormat="1" applyFont="1" applyFill="1" applyBorder="1" applyAlignment="1">
      <alignment horizontal="center"/>
    </xf>
    <xf numFmtId="0" fontId="0" fillId="3" borderId="0" xfId="0" applyFill="1"/>
    <xf numFmtId="0" fontId="2" fillId="3" borderId="0" xfId="0" applyFont="1" applyFill="1"/>
    <xf numFmtId="0" fontId="6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7" borderId="1" xfId="0" applyFill="1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78846</xdr:colOff>
      <xdr:row>1</xdr:row>
      <xdr:rowOff>6690</xdr:rowOff>
    </xdr:from>
    <xdr:to>
      <xdr:col>2</xdr:col>
      <xdr:colOff>1041206</xdr:colOff>
      <xdr:row>6</xdr:row>
      <xdr:rowOff>9061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1459968-43CC-4E80-9A62-9E9C7023F3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4073" y="194304"/>
          <a:ext cx="962360" cy="10125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635758</xdr:colOff>
      <xdr:row>0</xdr:row>
      <xdr:rowOff>165379</xdr:rowOff>
    </xdr:from>
    <xdr:to>
      <xdr:col>8</xdr:col>
      <xdr:colOff>696028</xdr:colOff>
      <xdr:row>6</xdr:row>
      <xdr:rowOff>2382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199F5DE-26F7-4EFA-936D-4C708B02B6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72349" y="165379"/>
          <a:ext cx="1052765" cy="10348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2186F-5088-469F-9E54-54BAB2BA6917}">
  <dimension ref="A1:V51"/>
  <sheetViews>
    <sheetView tabSelected="1" zoomScale="70" zoomScaleNormal="70" workbookViewId="0">
      <selection activeCell="N49" sqref="N49"/>
    </sheetView>
  </sheetViews>
  <sheetFormatPr baseColWidth="10" defaultColWidth="11.453125" defaultRowHeight="14.5" x14ac:dyDescent="0.35"/>
  <cols>
    <col min="2" max="2" width="13.1796875" bestFit="1" customWidth="1"/>
    <col min="3" max="3" width="17" bestFit="1" customWidth="1"/>
    <col min="4" max="4" width="14.81640625" customWidth="1"/>
    <col min="5" max="5" width="14.26953125" customWidth="1"/>
    <col min="6" max="6" width="17.453125" bestFit="1" customWidth="1"/>
    <col min="7" max="7" width="15.1796875" customWidth="1"/>
    <col min="8" max="8" width="15" bestFit="1" customWidth="1"/>
    <col min="9" max="9" width="12.54296875" bestFit="1" customWidth="1"/>
    <col min="10" max="10" width="16.7265625" bestFit="1" customWidth="1"/>
    <col min="11" max="11" width="15.453125" bestFit="1" customWidth="1"/>
    <col min="12" max="12" width="28.81640625" bestFit="1" customWidth="1"/>
    <col min="13" max="13" width="23" customWidth="1"/>
    <col min="14" max="14" width="25.54296875" customWidth="1"/>
    <col min="15" max="15" width="16" customWidth="1"/>
    <col min="16" max="16" width="24.1796875" customWidth="1"/>
    <col min="17" max="17" width="24.54296875" customWidth="1"/>
    <col min="18" max="18" width="25.81640625" customWidth="1"/>
    <col min="19" max="20" width="15.453125" bestFit="1" customWidth="1"/>
    <col min="21" max="21" width="15" bestFit="1" customWidth="1"/>
    <col min="22" max="22" width="16.26953125" bestFit="1" customWidth="1"/>
  </cols>
  <sheetData>
    <row r="1" spans="1:18" x14ac:dyDescent="0.35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15.5" x14ac:dyDescent="0.35">
      <c r="A2" s="22"/>
      <c r="B2" s="22"/>
      <c r="C2" s="22"/>
      <c r="D2" s="23"/>
      <c r="E2" s="23"/>
      <c r="F2" s="23"/>
      <c r="G2" s="23"/>
      <c r="H2" s="23"/>
      <c r="I2" s="23"/>
      <c r="J2" s="22"/>
      <c r="K2" s="22"/>
      <c r="L2" s="22"/>
      <c r="M2" s="22"/>
      <c r="N2" s="22"/>
      <c r="O2" s="22"/>
      <c r="P2" s="22"/>
      <c r="Q2" s="22"/>
      <c r="R2" s="22"/>
    </row>
    <row r="3" spans="1:18" ht="15.5" x14ac:dyDescent="0.35">
      <c r="A3" s="22"/>
      <c r="B3" s="22"/>
      <c r="C3" s="22"/>
      <c r="D3" s="23"/>
      <c r="E3" s="23"/>
      <c r="F3" s="24" t="s">
        <v>0</v>
      </c>
      <c r="G3" s="23"/>
      <c r="H3" s="23"/>
      <c r="I3" s="23"/>
      <c r="J3" s="22"/>
      <c r="K3" s="22"/>
      <c r="L3" s="22"/>
      <c r="M3" s="22"/>
      <c r="N3" s="22"/>
      <c r="O3" s="22"/>
      <c r="P3" s="22"/>
      <c r="Q3" s="22"/>
      <c r="R3" s="22"/>
    </row>
    <row r="4" spans="1:18" ht="15.5" x14ac:dyDescent="0.35">
      <c r="A4" s="22"/>
      <c r="B4" s="22"/>
      <c r="C4" s="22"/>
      <c r="D4" s="23"/>
      <c r="E4" s="23"/>
      <c r="F4" s="24" t="s">
        <v>1</v>
      </c>
      <c r="G4" s="23"/>
      <c r="H4" s="23"/>
      <c r="I4" s="23"/>
      <c r="J4" s="22"/>
      <c r="K4" s="22"/>
      <c r="L4" s="22"/>
      <c r="M4" s="22"/>
      <c r="N4" s="22"/>
      <c r="O4" s="22"/>
      <c r="P4" s="22"/>
      <c r="Q4" s="22"/>
      <c r="R4" s="22"/>
    </row>
    <row r="5" spans="1:18" ht="15.5" x14ac:dyDescent="0.35">
      <c r="A5" s="22"/>
      <c r="B5" s="22"/>
      <c r="C5" s="22"/>
      <c r="D5" s="23"/>
      <c r="E5" s="23"/>
      <c r="F5" s="24" t="s">
        <v>2</v>
      </c>
      <c r="G5" s="23"/>
      <c r="H5" s="23"/>
      <c r="I5" s="23"/>
      <c r="J5" s="22"/>
      <c r="K5" s="22"/>
      <c r="L5" s="22"/>
      <c r="M5" s="22"/>
      <c r="N5" s="22"/>
      <c r="O5" s="22"/>
      <c r="P5" s="22"/>
      <c r="Q5" s="22"/>
      <c r="R5" s="22"/>
    </row>
    <row r="6" spans="1:18" ht="15.5" x14ac:dyDescent="0.35">
      <c r="A6" s="22"/>
      <c r="B6" s="22"/>
      <c r="C6" s="22"/>
      <c r="D6" s="23"/>
      <c r="E6" s="25"/>
      <c r="F6" s="23"/>
      <c r="G6" s="23"/>
      <c r="H6" s="23"/>
      <c r="I6" s="23"/>
      <c r="J6" s="22"/>
      <c r="K6" s="22"/>
      <c r="L6" s="22"/>
      <c r="M6" s="22"/>
      <c r="N6" s="22"/>
      <c r="O6" s="22"/>
      <c r="P6" s="22"/>
      <c r="Q6" s="22"/>
      <c r="R6" s="22"/>
    </row>
    <row r="7" spans="1:18" ht="15.5" x14ac:dyDescent="0.35">
      <c r="A7" s="22"/>
      <c r="B7" s="22"/>
      <c r="C7" s="23"/>
      <c r="D7" s="23"/>
      <c r="E7" s="23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</row>
    <row r="8" spans="1:18" ht="42.5" x14ac:dyDescent="0.35">
      <c r="A8" s="22"/>
      <c r="B8" s="27"/>
      <c r="C8" s="2" t="s">
        <v>3</v>
      </c>
      <c r="D8" s="2" t="s">
        <v>4</v>
      </c>
      <c r="E8" s="2" t="s">
        <v>5</v>
      </c>
      <c r="F8" s="2" t="s">
        <v>6</v>
      </c>
      <c r="G8" s="2" t="s">
        <v>7</v>
      </c>
      <c r="H8" s="2" t="s">
        <v>8</v>
      </c>
      <c r="I8" s="22"/>
      <c r="J8" s="22"/>
      <c r="L8" s="1" t="s">
        <v>3</v>
      </c>
      <c r="M8" s="1" t="s">
        <v>4</v>
      </c>
      <c r="N8" s="1" t="s">
        <v>5</v>
      </c>
      <c r="O8" s="1" t="s">
        <v>6</v>
      </c>
      <c r="P8" s="1" t="s">
        <v>9</v>
      </c>
      <c r="Q8" s="1" t="s">
        <v>8</v>
      </c>
      <c r="R8" s="22"/>
    </row>
    <row r="9" spans="1:18" x14ac:dyDescent="0.35">
      <c r="A9" s="22"/>
      <c r="B9" s="2">
        <v>18</v>
      </c>
      <c r="C9" s="2" t="s">
        <v>10</v>
      </c>
      <c r="D9" s="3">
        <v>4.2998280068797301E-2</v>
      </c>
      <c r="E9" s="3">
        <v>0.14139434422623098</v>
      </c>
      <c r="F9" s="3">
        <v>0.81560737570497199</v>
      </c>
      <c r="G9" s="3">
        <v>18707</v>
      </c>
      <c r="H9" s="3">
        <v>6240.95585365854</v>
      </c>
      <c r="I9" s="22"/>
      <c r="J9" s="22"/>
      <c r="K9" s="2">
        <v>18</v>
      </c>
      <c r="L9" s="2" t="s">
        <v>11</v>
      </c>
      <c r="M9" s="3">
        <f>D9*100</f>
        <v>4.2998280068797303</v>
      </c>
      <c r="N9" s="3">
        <f>E9*100</f>
        <v>14.139434422623099</v>
      </c>
      <c r="O9" s="3">
        <f>F9*100</f>
        <v>81.560737570497196</v>
      </c>
      <c r="P9" s="3" t="s">
        <v>12</v>
      </c>
      <c r="Q9" s="3" t="s">
        <v>13</v>
      </c>
      <c r="R9" s="22"/>
    </row>
    <row r="10" spans="1:18" x14ac:dyDescent="0.35">
      <c r="A10" s="22"/>
      <c r="B10" s="2">
        <v>12</v>
      </c>
      <c r="C10" s="2" t="s">
        <v>14</v>
      </c>
      <c r="D10" s="3">
        <v>0.247141619545344</v>
      </c>
      <c r="E10" s="3">
        <v>0.13776560076966451</v>
      </c>
      <c r="F10" s="3">
        <v>0.61509277968499143</v>
      </c>
      <c r="G10" s="3">
        <v>18168</v>
      </c>
      <c r="H10" s="3">
        <v>4381.1536585365802</v>
      </c>
      <c r="I10" s="22"/>
      <c r="J10" s="22"/>
      <c r="K10" s="2">
        <v>12</v>
      </c>
      <c r="L10" s="2" t="s">
        <v>15</v>
      </c>
      <c r="M10" s="3">
        <f t="shared" ref="M10:M17" si="0">D10*100</f>
        <v>24.714161954534401</v>
      </c>
      <c r="N10" s="3">
        <f t="shared" ref="N10:N17" si="1">E10*100</f>
        <v>13.776560076966451</v>
      </c>
      <c r="O10" s="3">
        <f t="shared" ref="O10:O17" si="2">F10*100</f>
        <v>61.509277968499141</v>
      </c>
      <c r="P10" s="3" t="s">
        <v>16</v>
      </c>
      <c r="Q10" s="3" t="s">
        <v>17</v>
      </c>
      <c r="R10" s="22"/>
    </row>
    <row r="11" spans="1:18" x14ac:dyDescent="0.35">
      <c r="A11" s="22"/>
      <c r="B11" s="2">
        <v>43</v>
      </c>
      <c r="C11" s="2" t="s">
        <v>18</v>
      </c>
      <c r="D11" s="8">
        <v>0.55827766889324437</v>
      </c>
      <c r="E11" s="8">
        <v>0.34698612055517802</v>
      </c>
      <c r="F11" s="8">
        <v>9.4736210551577965E-2</v>
      </c>
      <c r="G11" s="8">
        <v>19298</v>
      </c>
      <c r="H11" s="8">
        <v>2053.7357343749995</v>
      </c>
      <c r="I11" s="22"/>
      <c r="J11" s="22"/>
      <c r="K11" s="2">
        <v>43</v>
      </c>
      <c r="L11" s="2" t="s">
        <v>19</v>
      </c>
      <c r="M11" s="3">
        <f>D11*100</f>
        <v>55.827766889324437</v>
      </c>
      <c r="N11" s="3">
        <f t="shared" si="1"/>
        <v>34.698612055517799</v>
      </c>
      <c r="O11" s="3">
        <f t="shared" si="2"/>
        <v>9.4736210551577962</v>
      </c>
      <c r="P11" s="8" t="s">
        <v>20</v>
      </c>
      <c r="Q11" s="8" t="s">
        <v>21</v>
      </c>
      <c r="R11" s="22"/>
    </row>
    <row r="12" spans="1:18" x14ac:dyDescent="0.35">
      <c r="A12" s="22"/>
      <c r="B12" s="2">
        <v>56</v>
      </c>
      <c r="C12" s="2" t="s">
        <v>22</v>
      </c>
      <c r="D12" s="3">
        <v>0.40060797568097301</v>
      </c>
      <c r="E12" s="3">
        <v>0.28738950441982331</v>
      </c>
      <c r="F12" s="3">
        <v>0.31200251989920408</v>
      </c>
      <c r="G12" s="3">
        <v>19171</v>
      </c>
      <c r="H12" s="3">
        <v>1003.2998048780488</v>
      </c>
      <c r="I12" s="22"/>
      <c r="J12" s="22"/>
      <c r="K12" s="2">
        <v>56</v>
      </c>
      <c r="L12" s="2" t="s">
        <v>23</v>
      </c>
      <c r="M12" s="3">
        <f t="shared" si="0"/>
        <v>40.0607975680973</v>
      </c>
      <c r="N12" s="3">
        <f t="shared" si="1"/>
        <v>28.738950441982329</v>
      </c>
      <c r="O12" s="3">
        <f t="shared" si="2"/>
        <v>31.200251989920407</v>
      </c>
      <c r="P12" s="8" t="s">
        <v>24</v>
      </c>
      <c r="Q12" s="8" t="s">
        <v>25</v>
      </c>
      <c r="R12" s="22"/>
    </row>
    <row r="13" spans="1:18" x14ac:dyDescent="0.35">
      <c r="A13" s="22"/>
      <c r="B13" s="4">
        <v>60</v>
      </c>
      <c r="C13" s="4" t="s">
        <v>26</v>
      </c>
      <c r="D13" s="5">
        <v>0.296888124475021</v>
      </c>
      <c r="E13" s="5">
        <v>0.40578376864925403</v>
      </c>
      <c r="F13" s="5">
        <v>0.29732810687572497</v>
      </c>
      <c r="G13" s="5">
        <v>19369</v>
      </c>
      <c r="H13" s="5">
        <v>18696.6408658537</v>
      </c>
      <c r="I13" s="22"/>
      <c r="J13" s="22"/>
      <c r="K13" s="4">
        <v>60</v>
      </c>
      <c r="L13" s="2" t="s">
        <v>27</v>
      </c>
      <c r="M13" s="3">
        <f t="shared" si="0"/>
        <v>29.688812447502102</v>
      </c>
      <c r="N13" s="3">
        <f t="shared" si="1"/>
        <v>40.578376864925403</v>
      </c>
      <c r="O13" s="3">
        <f t="shared" si="2"/>
        <v>29.732810687572496</v>
      </c>
      <c r="P13" s="8" t="s">
        <v>28</v>
      </c>
      <c r="Q13" s="8" t="s">
        <v>29</v>
      </c>
      <c r="R13" s="22"/>
    </row>
    <row r="14" spans="1:18" ht="15.5" x14ac:dyDescent="0.35">
      <c r="A14" s="22"/>
      <c r="B14" s="4">
        <v>61</v>
      </c>
      <c r="C14" s="4" t="s">
        <v>30</v>
      </c>
      <c r="D14" s="5">
        <v>0.56152138700581911</v>
      </c>
      <c r="E14" s="5">
        <v>0.26486291919131322</v>
      </c>
      <c r="F14" s="5">
        <v>0.17361569380286762</v>
      </c>
      <c r="G14" s="5">
        <v>19314</v>
      </c>
      <c r="H14" s="5">
        <v>9806.8427926829263</v>
      </c>
      <c r="I14" s="22"/>
      <c r="J14" s="23"/>
      <c r="K14" s="4">
        <v>61</v>
      </c>
      <c r="L14" s="2" t="s">
        <v>31</v>
      </c>
      <c r="M14" s="3">
        <f t="shared" si="0"/>
        <v>56.152138700581908</v>
      </c>
      <c r="N14" s="3">
        <f t="shared" si="1"/>
        <v>26.486291919131322</v>
      </c>
      <c r="O14" s="3">
        <f t="shared" si="2"/>
        <v>17.361569380286763</v>
      </c>
      <c r="P14" s="8" t="s">
        <v>32</v>
      </c>
      <c r="Q14" s="8" t="s">
        <v>33</v>
      </c>
      <c r="R14" s="22"/>
    </row>
    <row r="15" spans="1:18" x14ac:dyDescent="0.35">
      <c r="A15" s="22"/>
      <c r="B15" s="2">
        <v>7</v>
      </c>
      <c r="C15" s="2" t="s">
        <v>34</v>
      </c>
      <c r="D15" s="3">
        <v>0.47265609375624962</v>
      </c>
      <c r="E15" s="3">
        <v>0.30045098196072145</v>
      </c>
      <c r="F15" s="3">
        <v>0.22689292428302862</v>
      </c>
      <c r="G15" s="3">
        <v>18330</v>
      </c>
      <c r="H15" s="3">
        <v>704.69507317073203</v>
      </c>
      <c r="I15" s="22"/>
      <c r="J15" s="22"/>
      <c r="K15" s="2">
        <v>7</v>
      </c>
      <c r="L15" s="2" t="s">
        <v>35</v>
      </c>
      <c r="M15" s="3">
        <f t="shared" si="0"/>
        <v>47.265609375624962</v>
      </c>
      <c r="N15" s="3">
        <f t="shared" si="1"/>
        <v>30.045098196072146</v>
      </c>
      <c r="O15" s="3">
        <f t="shared" si="2"/>
        <v>22.689292428302863</v>
      </c>
      <c r="P15" s="8" t="s">
        <v>36</v>
      </c>
      <c r="Q15" s="8" t="s">
        <v>37</v>
      </c>
      <c r="R15" s="22"/>
    </row>
    <row r="16" spans="1:18" x14ac:dyDescent="0.35">
      <c r="A16" s="22"/>
      <c r="B16" s="2">
        <v>15</v>
      </c>
      <c r="C16" s="2" t="s">
        <v>38</v>
      </c>
      <c r="D16" s="3">
        <v>0.38918443262269503</v>
      </c>
      <c r="E16" s="3">
        <v>0.20949162033518659</v>
      </c>
      <c r="F16" s="3">
        <v>0.40132394704211832</v>
      </c>
      <c r="G16" s="3">
        <v>19085</v>
      </c>
      <c r="H16" s="3">
        <v>3459.7911341463418</v>
      </c>
      <c r="I16" s="22"/>
      <c r="J16" s="22"/>
      <c r="K16" s="2">
        <v>15</v>
      </c>
      <c r="L16" s="2" t="s">
        <v>39</v>
      </c>
      <c r="M16" s="3">
        <f t="shared" si="0"/>
        <v>38.918443262269506</v>
      </c>
      <c r="N16" s="3">
        <f t="shared" si="1"/>
        <v>20.949162033518657</v>
      </c>
      <c r="O16" s="3">
        <f t="shared" si="2"/>
        <v>40.132394704211833</v>
      </c>
      <c r="P16" s="8" t="s">
        <v>40</v>
      </c>
      <c r="Q16" s="8" t="s">
        <v>41</v>
      </c>
      <c r="R16" s="22"/>
    </row>
    <row r="17" spans="1:22" x14ac:dyDescent="0.35">
      <c r="A17" s="22"/>
      <c r="B17" s="4">
        <v>57</v>
      </c>
      <c r="C17" s="4" t="s">
        <v>42</v>
      </c>
      <c r="D17" s="5">
        <v>0.38310767569297233</v>
      </c>
      <c r="E17" s="5">
        <v>0.3135254589816408</v>
      </c>
      <c r="F17" s="5">
        <v>0.30336686532538704</v>
      </c>
      <c r="G17" s="5">
        <v>19466</v>
      </c>
      <c r="H17" s="5">
        <v>29240.515256097562</v>
      </c>
      <c r="I17" s="22"/>
      <c r="J17" s="22"/>
      <c r="K17" s="4">
        <v>57</v>
      </c>
      <c r="L17" s="2" t="s">
        <v>43</v>
      </c>
      <c r="M17" s="3">
        <f t="shared" si="0"/>
        <v>38.310767569297234</v>
      </c>
      <c r="N17" s="3">
        <f t="shared" si="1"/>
        <v>31.352545898164081</v>
      </c>
      <c r="O17" s="3">
        <f t="shared" si="2"/>
        <v>30.336686532538703</v>
      </c>
      <c r="P17" s="8" t="s">
        <v>44</v>
      </c>
      <c r="Q17" s="8" t="s">
        <v>45</v>
      </c>
      <c r="R17" s="22"/>
    </row>
    <row r="18" spans="1:22" ht="21.75" customHeight="1" x14ac:dyDescent="0.35">
      <c r="A18" s="22"/>
      <c r="B18" s="22"/>
      <c r="C18" s="23"/>
      <c r="D18" s="23"/>
      <c r="E18" s="23"/>
      <c r="F18" s="22"/>
      <c r="G18" s="22"/>
      <c r="H18" s="22"/>
      <c r="I18" s="22"/>
      <c r="J18" s="22"/>
      <c r="K18" s="23"/>
      <c r="L18" s="23"/>
      <c r="M18" s="23"/>
      <c r="N18" s="22"/>
      <c r="O18" s="22"/>
      <c r="P18" s="22"/>
      <c r="Q18" s="22"/>
      <c r="R18" s="22"/>
    </row>
    <row r="19" spans="1:22" ht="35.25" customHeight="1" x14ac:dyDescent="0.35">
      <c r="A19" s="22"/>
      <c r="B19" s="22"/>
      <c r="C19" s="22"/>
      <c r="D19" s="22"/>
      <c r="E19" s="22"/>
      <c r="F19" s="22"/>
      <c r="G19" s="22"/>
      <c r="H19" s="23"/>
      <c r="I19" s="23"/>
      <c r="J19" s="22"/>
      <c r="K19" s="22"/>
      <c r="L19" s="23"/>
      <c r="M19" s="22"/>
      <c r="N19" s="22"/>
      <c r="O19" s="23"/>
      <c r="P19" s="22"/>
      <c r="Q19" s="22"/>
      <c r="R19" s="23"/>
    </row>
    <row r="20" spans="1:22" ht="42.5" x14ac:dyDescent="0.35">
      <c r="A20" s="22"/>
      <c r="B20" s="11" t="s">
        <v>46</v>
      </c>
      <c r="C20" s="12" t="s">
        <v>47</v>
      </c>
      <c r="D20" s="12" t="s">
        <v>48</v>
      </c>
      <c r="E20" s="12" t="s">
        <v>49</v>
      </c>
      <c r="F20" s="22"/>
      <c r="G20" s="22"/>
      <c r="H20" s="23"/>
      <c r="I20" s="22"/>
      <c r="J20" s="20" t="s">
        <v>50</v>
      </c>
      <c r="K20" s="20" t="s">
        <v>51</v>
      </c>
      <c r="L20" s="20" t="s">
        <v>52</v>
      </c>
      <c r="M20" s="20" t="s">
        <v>53</v>
      </c>
      <c r="N20" s="20" t="s">
        <v>54</v>
      </c>
      <c r="O20" s="22"/>
      <c r="P20" s="22"/>
      <c r="Q20" s="22"/>
      <c r="R20" s="22"/>
    </row>
    <row r="21" spans="1:22" ht="15.5" x14ac:dyDescent="0.35">
      <c r="A21" s="22"/>
      <c r="B21" s="9" t="s">
        <v>55</v>
      </c>
      <c r="C21" s="13">
        <v>0.4</v>
      </c>
      <c r="D21" s="13">
        <v>0.3</v>
      </c>
      <c r="E21" s="13">
        <v>0.3</v>
      </c>
      <c r="F21" s="22"/>
      <c r="G21" s="22"/>
      <c r="H21" s="23"/>
      <c r="I21" s="2" t="s">
        <v>11</v>
      </c>
      <c r="J21" s="14">
        <v>18</v>
      </c>
      <c r="K21" s="15">
        <f>(M9/100)*10*0.5</f>
        <v>0.21499140034398651</v>
      </c>
      <c r="L21" s="15">
        <f>(1-(N9/100))*10*0.25</f>
        <v>2.1465141394344225</v>
      </c>
      <c r="M21" s="15">
        <f t="shared" ref="M21:M29" si="3">(1-(O9/100))*10*0.25</f>
        <v>0.46098156073757002</v>
      </c>
      <c r="N21" s="15">
        <f>SUM(K21:M21)</f>
        <v>2.8224871005159788</v>
      </c>
      <c r="O21" s="22"/>
      <c r="P21" s="22"/>
      <c r="Q21" s="22"/>
      <c r="R21" s="22"/>
    </row>
    <row r="22" spans="1:22" ht="15.5" x14ac:dyDescent="0.35">
      <c r="A22" s="22"/>
      <c r="B22" s="22"/>
      <c r="C22" s="22"/>
      <c r="D22" s="22"/>
      <c r="E22" s="22"/>
      <c r="F22" s="22"/>
      <c r="G22" s="22"/>
      <c r="H22" s="23"/>
      <c r="I22" s="2" t="s">
        <v>15</v>
      </c>
      <c r="J22" s="14">
        <v>12</v>
      </c>
      <c r="K22" s="15">
        <f t="shared" ref="K22:K29" si="4">(M10/100)*10*0.5</f>
        <v>1.2357080977267201</v>
      </c>
      <c r="L22" s="15">
        <f t="shared" ref="L22:L29" si="5">(1-(N10/100))*10*0.25</f>
        <v>2.1555859980758387</v>
      </c>
      <c r="M22" s="15">
        <f t="shared" si="3"/>
        <v>0.96226805078752142</v>
      </c>
      <c r="N22" s="15">
        <f t="shared" ref="N22:N29" si="6">SUM(K22:M22)</f>
        <v>4.3535621465900807</v>
      </c>
      <c r="O22" s="22"/>
      <c r="P22" s="22"/>
      <c r="Q22" s="22"/>
      <c r="R22" s="22"/>
    </row>
    <row r="23" spans="1:22" ht="29" x14ac:dyDescent="0.35">
      <c r="A23" s="22"/>
      <c r="B23" s="22"/>
      <c r="C23" s="10" t="s">
        <v>56</v>
      </c>
      <c r="D23" s="10" t="s">
        <v>57</v>
      </c>
      <c r="E23" s="10" t="s">
        <v>48</v>
      </c>
      <c r="F23" s="10" t="s">
        <v>58</v>
      </c>
      <c r="G23" s="10" t="s">
        <v>59</v>
      </c>
      <c r="H23" s="23"/>
      <c r="I23" s="2" t="s">
        <v>19</v>
      </c>
      <c r="J23" s="14">
        <v>43</v>
      </c>
      <c r="K23" s="15">
        <f t="shared" si="4"/>
        <v>2.7913883444662217</v>
      </c>
      <c r="L23" s="15">
        <f t="shared" si="5"/>
        <v>1.632534698612055</v>
      </c>
      <c r="M23" s="15">
        <f t="shared" si="3"/>
        <v>2.2631594736210552</v>
      </c>
      <c r="N23" s="15">
        <f t="shared" si="6"/>
        <v>6.6870825166993324</v>
      </c>
      <c r="O23" s="22"/>
      <c r="P23" s="22"/>
      <c r="Q23" s="22"/>
      <c r="R23" s="22"/>
    </row>
    <row r="24" spans="1:22" ht="15.5" x14ac:dyDescent="0.35">
      <c r="A24" s="22"/>
      <c r="B24" s="22"/>
      <c r="C24" s="14" t="s">
        <v>60</v>
      </c>
      <c r="D24" s="15">
        <v>0.4</v>
      </c>
      <c r="E24" s="15">
        <v>0.3</v>
      </c>
      <c r="F24" s="14">
        <v>0.3</v>
      </c>
      <c r="G24" s="15">
        <v>1</v>
      </c>
      <c r="H24" s="23"/>
      <c r="I24" s="2" t="s">
        <v>23</v>
      </c>
      <c r="J24" s="14">
        <v>56</v>
      </c>
      <c r="K24" s="15">
        <f t="shared" si="4"/>
        <v>2.0030398784048651</v>
      </c>
      <c r="L24" s="15">
        <f t="shared" si="5"/>
        <v>1.7815262389504416</v>
      </c>
      <c r="M24" s="15">
        <f t="shared" si="3"/>
        <v>1.7199937002519898</v>
      </c>
      <c r="N24" s="15">
        <f t="shared" si="6"/>
        <v>5.5045598176072961</v>
      </c>
      <c r="O24" s="22"/>
      <c r="P24" s="22"/>
      <c r="Q24" s="22"/>
      <c r="R24" s="22"/>
      <c r="S24" s="22"/>
      <c r="T24" s="22"/>
      <c r="U24" s="22"/>
      <c r="V24" s="22"/>
    </row>
    <row r="25" spans="1:22" ht="15.5" x14ac:dyDescent="0.35">
      <c r="A25" s="22"/>
      <c r="B25" s="2" t="s">
        <v>11</v>
      </c>
      <c r="C25" s="14" t="s">
        <v>61</v>
      </c>
      <c r="D25" s="15">
        <v>2.8224871005159802</v>
      </c>
      <c r="E25" s="15">
        <v>4.1525423728813564</v>
      </c>
      <c r="F25" s="15">
        <v>1.9401092188687779</v>
      </c>
      <c r="G25" s="15">
        <v>2.9567903177314299</v>
      </c>
      <c r="H25" s="23"/>
      <c r="I25" s="2" t="s">
        <v>27</v>
      </c>
      <c r="J25" s="14">
        <v>60</v>
      </c>
      <c r="K25" s="15">
        <f t="shared" si="4"/>
        <v>1.484440622375105</v>
      </c>
      <c r="L25" s="15">
        <f t="shared" si="5"/>
        <v>1.4855405783768649</v>
      </c>
      <c r="M25" s="15">
        <f t="shared" si="3"/>
        <v>1.7566797328106876</v>
      </c>
      <c r="N25" s="15">
        <f t="shared" si="6"/>
        <v>4.7266609335626573</v>
      </c>
      <c r="O25" s="22"/>
      <c r="P25" s="22"/>
      <c r="Q25" s="22"/>
      <c r="R25" s="22"/>
      <c r="S25" s="22"/>
      <c r="T25" s="22"/>
      <c r="U25" s="22"/>
      <c r="V25" s="22"/>
    </row>
    <row r="26" spans="1:22" ht="15.5" x14ac:dyDescent="0.35">
      <c r="A26" s="22"/>
      <c r="B26" s="2" t="s">
        <v>15</v>
      </c>
      <c r="C26" s="14" t="s">
        <v>62</v>
      </c>
      <c r="D26" s="15">
        <v>4.3535621465900798</v>
      </c>
      <c r="E26" s="15">
        <v>0</v>
      </c>
      <c r="F26" s="15">
        <v>1.2883661874087284</v>
      </c>
      <c r="G26" s="15">
        <v>2.1279347148586507</v>
      </c>
      <c r="H26" s="23"/>
      <c r="I26" s="2" t="s">
        <v>31</v>
      </c>
      <c r="J26" s="14">
        <v>61</v>
      </c>
      <c r="K26" s="15">
        <f t="shared" si="4"/>
        <v>2.8076069350290958</v>
      </c>
      <c r="L26" s="15">
        <f t="shared" si="5"/>
        <v>1.837842702021717</v>
      </c>
      <c r="M26" s="15">
        <f t="shared" si="3"/>
        <v>2.0659607654928309</v>
      </c>
      <c r="N26" s="15">
        <f t="shared" si="6"/>
        <v>6.7114104025436436</v>
      </c>
      <c r="O26" s="22"/>
      <c r="P26" s="22"/>
      <c r="Q26" s="22"/>
      <c r="R26" s="22"/>
      <c r="S26" s="22"/>
      <c r="T26" s="22"/>
      <c r="U26" s="22"/>
      <c r="V26" s="22"/>
    </row>
    <row r="27" spans="1:22" ht="15.5" x14ac:dyDescent="0.35">
      <c r="A27" s="22"/>
      <c r="B27" s="16" t="s">
        <v>19</v>
      </c>
      <c r="C27" s="14" t="s">
        <v>63</v>
      </c>
      <c r="D27" s="15">
        <v>6.6870825166993297</v>
      </c>
      <c r="E27" s="15">
        <v>8.7057010785824342</v>
      </c>
      <c r="F27" s="15">
        <v>0.47275342098329015</v>
      </c>
      <c r="G27" s="15">
        <v>5.4283693565494504</v>
      </c>
      <c r="H27" s="23"/>
      <c r="I27" s="2" t="s">
        <v>35</v>
      </c>
      <c r="J27" s="14">
        <v>7</v>
      </c>
      <c r="K27" s="15">
        <f t="shared" si="4"/>
        <v>2.3632804687812481</v>
      </c>
      <c r="L27" s="15">
        <f t="shared" si="5"/>
        <v>1.7488725450981963</v>
      </c>
      <c r="M27" s="15">
        <f t="shared" si="3"/>
        <v>1.9327676892924284</v>
      </c>
      <c r="N27" s="15">
        <f t="shared" si="6"/>
        <v>6.044920703171873</v>
      </c>
      <c r="O27" s="22"/>
      <c r="P27" s="22"/>
      <c r="Q27" s="22"/>
      <c r="R27" s="22"/>
      <c r="S27" s="22"/>
      <c r="T27" s="22"/>
      <c r="U27" s="22"/>
      <c r="V27" s="22"/>
    </row>
    <row r="28" spans="1:22" ht="15.5" x14ac:dyDescent="0.35">
      <c r="A28" s="22"/>
      <c r="B28" s="2" t="s">
        <v>23</v>
      </c>
      <c r="C28" s="14" t="s">
        <v>64</v>
      </c>
      <c r="D28" s="15">
        <v>5.5045598176072952</v>
      </c>
      <c r="E28" s="15">
        <v>7.7272727272727266</v>
      </c>
      <c r="F28" s="15">
        <v>0.10464207084048488</v>
      </c>
      <c r="G28" s="15">
        <v>4.5513983664768816</v>
      </c>
      <c r="H28" s="23"/>
      <c r="I28" s="2" t="s">
        <v>39</v>
      </c>
      <c r="J28" s="14">
        <v>15</v>
      </c>
      <c r="K28" s="15">
        <f t="shared" si="4"/>
        <v>1.9459221631134751</v>
      </c>
      <c r="L28" s="15">
        <f t="shared" si="5"/>
        <v>1.9762709491620336</v>
      </c>
      <c r="M28" s="15">
        <f t="shared" si="3"/>
        <v>1.4966901323947042</v>
      </c>
      <c r="N28" s="15">
        <f t="shared" si="6"/>
        <v>5.4188832446702131</v>
      </c>
      <c r="O28" s="22"/>
      <c r="P28" s="22"/>
      <c r="Q28" s="22"/>
      <c r="R28" s="22"/>
      <c r="S28" s="22"/>
      <c r="T28" s="22"/>
      <c r="U28" s="22"/>
      <c r="V28" s="22"/>
    </row>
    <row r="29" spans="1:22" ht="15.5" x14ac:dyDescent="0.35">
      <c r="A29" s="22"/>
      <c r="B29" s="16" t="s">
        <v>27</v>
      </c>
      <c r="C29" s="14" t="s">
        <v>65</v>
      </c>
      <c r="D29" s="15">
        <v>4.7266609335626573</v>
      </c>
      <c r="E29" s="15">
        <v>9.2526964560862872</v>
      </c>
      <c r="F29" s="15">
        <v>6.3050389571236742</v>
      </c>
      <c r="G29" s="15">
        <v>6.5579849973880497</v>
      </c>
      <c r="H29" s="23"/>
      <c r="I29" s="2" t="s">
        <v>43</v>
      </c>
      <c r="J29" s="14">
        <v>57</v>
      </c>
      <c r="K29" s="15">
        <f t="shared" si="4"/>
        <v>1.9155383784648616</v>
      </c>
      <c r="L29" s="15">
        <f t="shared" si="5"/>
        <v>1.7161863525458982</v>
      </c>
      <c r="M29" s="15">
        <f t="shared" si="3"/>
        <v>1.7415828366865325</v>
      </c>
      <c r="N29" s="15">
        <f t="shared" si="6"/>
        <v>5.3733075676972923</v>
      </c>
      <c r="O29" s="22"/>
      <c r="P29" s="22"/>
      <c r="Q29" s="22"/>
      <c r="R29" s="22"/>
      <c r="S29" s="22"/>
      <c r="T29" s="22"/>
      <c r="U29" s="22"/>
      <c r="V29" s="22"/>
    </row>
    <row r="30" spans="1:22" ht="15.5" x14ac:dyDescent="0.35">
      <c r="A30" s="22"/>
      <c r="B30" s="2" t="s">
        <v>31</v>
      </c>
      <c r="C30" s="14" t="s">
        <v>66</v>
      </c>
      <c r="D30" s="15">
        <v>6.7114104025436401</v>
      </c>
      <c r="E30" s="15">
        <v>8.8289676425269654</v>
      </c>
      <c r="F30" s="15">
        <v>3.1897270382149601</v>
      </c>
      <c r="G30" s="15">
        <v>6.2901725652400362</v>
      </c>
      <c r="H30" s="23"/>
      <c r="I30" s="23"/>
      <c r="J30" s="22"/>
      <c r="K30" s="22"/>
      <c r="L30" s="22"/>
      <c r="M30" s="22"/>
      <c r="N30" s="22"/>
      <c r="O30" s="22"/>
      <c r="P30" s="22"/>
      <c r="Q30" s="23"/>
      <c r="R30" s="23"/>
      <c r="S30" s="22"/>
      <c r="T30" s="22"/>
      <c r="U30" s="22"/>
      <c r="V30" s="22"/>
    </row>
    <row r="31" spans="1:22" ht="15.5" x14ac:dyDescent="0.35">
      <c r="A31" s="22"/>
      <c r="B31" s="2" t="s">
        <v>35</v>
      </c>
      <c r="C31" s="14" t="s">
        <v>67</v>
      </c>
      <c r="D31" s="15">
        <v>6.044920703171873</v>
      </c>
      <c r="E31" s="15">
        <v>1.2480739599383668</v>
      </c>
      <c r="F31" s="15">
        <v>0</v>
      </c>
      <c r="G31" s="15">
        <v>2.7923904692502592</v>
      </c>
      <c r="H31" s="23"/>
      <c r="I31" s="23"/>
      <c r="J31" s="22"/>
      <c r="K31" s="22"/>
      <c r="L31" s="22"/>
      <c r="M31" s="22"/>
      <c r="N31" s="22"/>
      <c r="O31" s="22"/>
      <c r="P31" s="22"/>
      <c r="Q31" s="23"/>
      <c r="R31" s="23"/>
      <c r="S31" s="22"/>
      <c r="T31" s="22"/>
      <c r="U31" s="22"/>
      <c r="V31" s="22"/>
    </row>
    <row r="32" spans="1:22" ht="15.5" x14ac:dyDescent="0.35">
      <c r="A32" s="22"/>
      <c r="B32" s="2" t="s">
        <v>39</v>
      </c>
      <c r="C32" s="14" t="s">
        <v>68</v>
      </c>
      <c r="D32" s="15">
        <v>5.4188832446702131</v>
      </c>
      <c r="E32" s="15">
        <v>7.064714946070878</v>
      </c>
      <c r="F32" s="15">
        <v>0.96548690148531358</v>
      </c>
      <c r="G32" s="15">
        <v>4.5766138521349422</v>
      </c>
      <c r="H32" s="23"/>
      <c r="I32" s="23"/>
      <c r="J32" s="22"/>
      <c r="K32" s="22"/>
      <c r="L32" s="22"/>
      <c r="M32" s="22"/>
      <c r="N32" s="22"/>
      <c r="O32" s="22"/>
      <c r="P32" s="23"/>
      <c r="Q32" s="23"/>
      <c r="R32" s="23"/>
      <c r="S32" s="22"/>
      <c r="T32" s="22"/>
      <c r="U32" s="22"/>
      <c r="V32" s="22"/>
    </row>
    <row r="33" spans="1:22" ht="15.5" x14ac:dyDescent="0.35">
      <c r="A33" s="22"/>
      <c r="B33" s="2" t="s">
        <v>43</v>
      </c>
      <c r="C33" s="14" t="s">
        <v>69</v>
      </c>
      <c r="D33" s="15">
        <v>5.3733075676972923</v>
      </c>
      <c r="E33" s="15">
        <v>10</v>
      </c>
      <c r="F33" s="15">
        <v>10</v>
      </c>
      <c r="G33" s="15">
        <v>8.1493230270789176</v>
      </c>
      <c r="H33" s="23"/>
      <c r="I33" s="23"/>
      <c r="J33" s="22"/>
      <c r="K33" s="22"/>
      <c r="L33" s="22"/>
      <c r="M33" s="22"/>
      <c r="N33" s="22"/>
      <c r="O33" s="22"/>
      <c r="P33" s="23"/>
      <c r="Q33" s="23"/>
      <c r="R33" s="23"/>
      <c r="S33" s="22"/>
      <c r="T33" s="22"/>
      <c r="U33" s="22"/>
      <c r="V33" s="22"/>
    </row>
    <row r="34" spans="1:22" ht="15.5" x14ac:dyDescent="0.35">
      <c r="A34" s="22"/>
      <c r="B34" s="22"/>
      <c r="C34" s="22"/>
      <c r="D34" s="22"/>
      <c r="E34" s="22"/>
      <c r="F34" s="22"/>
      <c r="G34" s="22"/>
      <c r="H34" s="23"/>
      <c r="I34" s="23"/>
      <c r="J34" s="22"/>
      <c r="K34" s="22"/>
      <c r="L34" s="22"/>
      <c r="M34" s="22"/>
      <c r="N34" s="22"/>
      <c r="O34" s="22"/>
      <c r="P34" s="22"/>
      <c r="Q34" s="23"/>
      <c r="R34" s="23"/>
      <c r="S34" s="22"/>
      <c r="T34" s="22"/>
      <c r="U34" s="22"/>
      <c r="V34" s="22"/>
    </row>
    <row r="35" spans="1:22" ht="43.5" x14ac:dyDescent="0.35">
      <c r="A35" s="22"/>
      <c r="B35" s="22"/>
      <c r="C35" s="1" t="s">
        <v>50</v>
      </c>
      <c r="D35" s="1" t="s">
        <v>9</v>
      </c>
      <c r="E35" s="1" t="s">
        <v>8</v>
      </c>
      <c r="F35" s="22"/>
      <c r="G35" s="22"/>
      <c r="H35" s="17" t="s">
        <v>7</v>
      </c>
      <c r="I35" s="17" t="s">
        <v>8</v>
      </c>
      <c r="J35" s="22"/>
      <c r="K35" s="22"/>
      <c r="L35" s="22"/>
      <c r="M35" s="22"/>
      <c r="N35" s="22"/>
      <c r="O35" s="22"/>
      <c r="P35" s="22"/>
      <c r="Q35" s="23"/>
      <c r="R35" s="23"/>
      <c r="S35" s="22"/>
      <c r="T35" s="22"/>
      <c r="U35" s="22"/>
      <c r="V35" s="22"/>
    </row>
    <row r="36" spans="1:22" ht="15.5" x14ac:dyDescent="0.35">
      <c r="A36" s="22"/>
      <c r="B36" s="2" t="s">
        <v>11</v>
      </c>
      <c r="C36" s="7">
        <v>18</v>
      </c>
      <c r="D36" s="19">
        <f t="shared" ref="D36:D44" si="7">((H36-$H$37)/($H$44-$H$37))*10</f>
        <v>4.1525423728813564</v>
      </c>
      <c r="E36" s="19">
        <f t="shared" ref="E36:E44" si="8">((I36-$I$42)/($I$44-$I$42))*10</f>
        <v>1.9401092188687779</v>
      </c>
      <c r="F36" s="22"/>
      <c r="G36" s="22"/>
      <c r="H36" s="3">
        <v>18707</v>
      </c>
      <c r="I36" s="3">
        <v>6240.95585365854</v>
      </c>
      <c r="J36" s="22"/>
      <c r="K36" s="22"/>
      <c r="L36" s="22"/>
      <c r="M36" s="22"/>
      <c r="N36" s="22"/>
      <c r="O36" s="22"/>
      <c r="P36" s="22"/>
    </row>
    <row r="37" spans="1:22" ht="15.5" x14ac:dyDescent="0.35">
      <c r="A37" s="22"/>
      <c r="B37" s="2" t="s">
        <v>15</v>
      </c>
      <c r="C37" s="7">
        <v>12</v>
      </c>
      <c r="D37" s="19">
        <f t="shared" si="7"/>
        <v>0</v>
      </c>
      <c r="E37" s="19">
        <f t="shared" si="8"/>
        <v>1.2883661874087284</v>
      </c>
      <c r="F37" s="22"/>
      <c r="G37" s="22"/>
      <c r="H37" s="18">
        <v>18168</v>
      </c>
      <c r="I37" s="3">
        <v>4381.1536585365802</v>
      </c>
      <c r="J37" s="26" t="s">
        <v>70</v>
      </c>
      <c r="K37" s="22"/>
      <c r="L37" s="22"/>
      <c r="M37" s="22"/>
      <c r="N37" s="22"/>
      <c r="O37" s="22"/>
      <c r="P37" s="22"/>
    </row>
    <row r="38" spans="1:22" ht="15.5" x14ac:dyDescent="0.35">
      <c r="A38" s="22"/>
      <c r="B38" s="2" t="s">
        <v>19</v>
      </c>
      <c r="C38" s="7">
        <v>43</v>
      </c>
      <c r="D38" s="19">
        <f t="shared" si="7"/>
        <v>8.7057010785824342</v>
      </c>
      <c r="E38" s="19">
        <f t="shared" si="8"/>
        <v>0.47275342098329015</v>
      </c>
      <c r="F38" s="22"/>
      <c r="G38" s="22"/>
      <c r="H38" s="21">
        <v>19298</v>
      </c>
      <c r="I38" s="8">
        <v>2053.7357343749995</v>
      </c>
      <c r="J38" s="22"/>
      <c r="K38" s="22"/>
      <c r="L38" s="22"/>
      <c r="M38" s="22"/>
      <c r="N38" s="22"/>
      <c r="O38" s="22"/>
      <c r="P38" s="22"/>
    </row>
    <row r="39" spans="1:22" ht="15.5" x14ac:dyDescent="0.35">
      <c r="A39" s="22"/>
      <c r="B39" s="2" t="s">
        <v>23</v>
      </c>
      <c r="C39" s="7">
        <v>56</v>
      </c>
      <c r="D39" s="19">
        <f t="shared" si="7"/>
        <v>7.7272727272727266</v>
      </c>
      <c r="E39" s="19">
        <f t="shared" si="8"/>
        <v>0.10464207084048488</v>
      </c>
      <c r="F39" s="22"/>
      <c r="G39" s="22"/>
      <c r="H39" s="8">
        <v>19171</v>
      </c>
      <c r="I39" s="8">
        <v>1003.2998048780488</v>
      </c>
      <c r="J39" s="22"/>
      <c r="K39" s="22"/>
      <c r="L39" s="22"/>
      <c r="M39" s="22"/>
      <c r="N39" s="22"/>
      <c r="O39" s="22"/>
      <c r="P39" s="22"/>
    </row>
    <row r="40" spans="1:22" ht="15.5" x14ac:dyDescent="0.35">
      <c r="A40" s="22"/>
      <c r="B40" s="2" t="s">
        <v>27</v>
      </c>
      <c r="C40" s="7">
        <v>60</v>
      </c>
      <c r="D40" s="19">
        <f t="shared" si="7"/>
        <v>9.2526964560862872</v>
      </c>
      <c r="E40" s="19">
        <f t="shared" si="8"/>
        <v>6.3050389571236742</v>
      </c>
      <c r="F40" s="22"/>
      <c r="G40" s="22"/>
      <c r="H40" s="8">
        <v>19369</v>
      </c>
      <c r="I40" s="8">
        <v>18696.6408658537</v>
      </c>
      <c r="J40" s="22"/>
      <c r="K40" s="22"/>
      <c r="L40" s="22"/>
      <c r="M40" s="22"/>
      <c r="N40" s="22"/>
      <c r="O40" s="22"/>
      <c r="P40" s="22"/>
    </row>
    <row r="41" spans="1:22" ht="15.5" x14ac:dyDescent="0.35">
      <c r="A41" s="22"/>
      <c r="B41" s="2" t="s">
        <v>31</v>
      </c>
      <c r="C41" s="7">
        <v>61</v>
      </c>
      <c r="D41" s="19">
        <f t="shared" si="7"/>
        <v>8.8289676425269654</v>
      </c>
      <c r="E41" s="19">
        <f t="shared" si="8"/>
        <v>3.1897270382149627</v>
      </c>
      <c r="F41" s="22"/>
      <c r="G41" s="22"/>
      <c r="H41" s="8">
        <v>19314</v>
      </c>
      <c r="I41" s="8">
        <v>9806.8427926829263</v>
      </c>
      <c r="J41" s="22"/>
      <c r="K41" s="22"/>
      <c r="L41" s="22"/>
      <c r="M41" s="22"/>
      <c r="N41" s="22"/>
      <c r="O41" s="22"/>
      <c r="P41" s="22"/>
    </row>
    <row r="42" spans="1:22" ht="18.75" customHeight="1" x14ac:dyDescent="0.35">
      <c r="A42" s="22"/>
      <c r="B42" s="2" t="s">
        <v>35</v>
      </c>
      <c r="C42" s="7">
        <v>7</v>
      </c>
      <c r="D42" s="19">
        <f t="shared" si="7"/>
        <v>1.2480739599383668</v>
      </c>
      <c r="E42" s="19">
        <f t="shared" si="8"/>
        <v>0</v>
      </c>
      <c r="F42" s="22"/>
      <c r="G42" s="22"/>
      <c r="H42" s="8">
        <v>18330</v>
      </c>
      <c r="I42" s="18">
        <v>704.69507317073203</v>
      </c>
      <c r="J42" s="26" t="s">
        <v>70</v>
      </c>
      <c r="K42" s="22"/>
      <c r="L42" s="22"/>
      <c r="M42" s="22"/>
      <c r="N42" s="22"/>
      <c r="O42" s="22"/>
      <c r="P42" s="22"/>
    </row>
    <row r="43" spans="1:22" ht="19.5" customHeight="1" x14ac:dyDescent="0.35">
      <c r="A43" s="22"/>
      <c r="B43" s="2" t="s">
        <v>39</v>
      </c>
      <c r="C43" s="7">
        <v>15</v>
      </c>
      <c r="D43" s="19">
        <f t="shared" si="7"/>
        <v>7.064714946070878</v>
      </c>
      <c r="E43" s="19">
        <f t="shared" si="8"/>
        <v>0.96548690148531358</v>
      </c>
      <c r="F43" s="22"/>
      <c r="G43" s="22"/>
      <c r="H43" s="8">
        <v>19085</v>
      </c>
      <c r="I43" s="8">
        <v>3459.7911341463418</v>
      </c>
      <c r="J43" s="22"/>
      <c r="K43" s="22"/>
      <c r="L43" s="22"/>
      <c r="M43" s="22"/>
      <c r="N43" s="22"/>
      <c r="O43" s="22"/>
      <c r="P43" s="22"/>
    </row>
    <row r="44" spans="1:22" ht="15.5" x14ac:dyDescent="0.35">
      <c r="A44" s="22"/>
      <c r="B44" s="2" t="s">
        <v>43</v>
      </c>
      <c r="C44" s="7">
        <v>57</v>
      </c>
      <c r="D44" s="19">
        <f t="shared" si="7"/>
        <v>10</v>
      </c>
      <c r="E44" s="19">
        <f t="shared" si="8"/>
        <v>10</v>
      </c>
      <c r="F44" s="22"/>
      <c r="G44" s="22"/>
      <c r="H44" s="18">
        <v>19466</v>
      </c>
      <c r="I44" s="18">
        <v>29240.515256097562</v>
      </c>
      <c r="J44" s="26" t="s">
        <v>71</v>
      </c>
      <c r="K44" s="22"/>
      <c r="L44" s="22"/>
      <c r="M44" s="22"/>
      <c r="N44" s="22"/>
      <c r="O44" s="22"/>
      <c r="P44" s="22"/>
    </row>
    <row r="45" spans="1:22" x14ac:dyDescent="0.3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</row>
    <row r="46" spans="1:22" x14ac:dyDescent="0.3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</row>
    <row r="47" spans="1:22" ht="15.5" x14ac:dyDescent="0.35">
      <c r="B47" s="1" t="s">
        <v>56</v>
      </c>
      <c r="C47" s="1" t="s">
        <v>60</v>
      </c>
      <c r="D47" s="6" t="s">
        <v>61</v>
      </c>
      <c r="E47" s="6" t="s">
        <v>62</v>
      </c>
      <c r="F47" s="6" t="s">
        <v>63</v>
      </c>
      <c r="G47" s="6" t="s">
        <v>64</v>
      </c>
      <c r="H47" s="6" t="s">
        <v>65</v>
      </c>
      <c r="I47" s="6" t="s">
        <v>72</v>
      </c>
      <c r="J47" s="6" t="s">
        <v>67</v>
      </c>
      <c r="K47" s="6" t="s">
        <v>68</v>
      </c>
      <c r="L47" s="6" t="s">
        <v>69</v>
      </c>
      <c r="M47" s="22"/>
      <c r="N47" s="22"/>
      <c r="O47" s="22"/>
      <c r="P47" s="22"/>
      <c r="Q47" s="23"/>
      <c r="R47" s="23"/>
      <c r="S47" s="22"/>
      <c r="T47" s="22"/>
      <c r="U47" s="22"/>
      <c r="V47" s="22"/>
    </row>
    <row r="48" spans="1:22" ht="28.5" x14ac:dyDescent="0.35">
      <c r="B48" s="2" t="s">
        <v>57</v>
      </c>
      <c r="C48" s="3">
        <v>0.4</v>
      </c>
      <c r="D48" s="19">
        <v>2.8224871005159802</v>
      </c>
      <c r="E48" s="19">
        <v>4.3535621465900798</v>
      </c>
      <c r="F48" s="19">
        <v>6.6870825166993297</v>
      </c>
      <c r="G48" s="19">
        <v>5.5045598176072996</v>
      </c>
      <c r="H48" s="19">
        <v>4.7266609335626573</v>
      </c>
      <c r="I48" s="19">
        <v>6.7114104025436401</v>
      </c>
      <c r="J48" s="19">
        <v>6.044920703171873</v>
      </c>
      <c r="K48" s="19">
        <v>5.4188832446702131</v>
      </c>
      <c r="L48" s="19">
        <v>5.3733075676972923</v>
      </c>
      <c r="N48" s="22"/>
      <c r="O48" s="22"/>
      <c r="P48" s="22"/>
    </row>
    <row r="49" spans="2:12" ht="42.5" x14ac:dyDescent="0.35">
      <c r="B49" s="2" t="s">
        <v>48</v>
      </c>
      <c r="C49" s="3">
        <v>0.3</v>
      </c>
      <c r="D49" s="19">
        <v>4.1525423728813564</v>
      </c>
      <c r="E49" s="19">
        <v>0</v>
      </c>
      <c r="F49" s="19">
        <v>8.7057010785824342</v>
      </c>
      <c r="G49" s="19">
        <v>7.7272727272727266</v>
      </c>
      <c r="H49" s="19">
        <v>9.2526964560862872</v>
      </c>
      <c r="I49" s="19">
        <v>8.8289676425269654</v>
      </c>
      <c r="J49" s="19">
        <v>1.2480739599383668</v>
      </c>
      <c r="K49" s="19">
        <v>7.064714946070878</v>
      </c>
      <c r="L49" s="19">
        <v>10</v>
      </c>
    </row>
    <row r="50" spans="2:12" ht="42.5" x14ac:dyDescent="0.35">
      <c r="B50" s="2" t="s">
        <v>58</v>
      </c>
      <c r="C50" s="3">
        <v>0.3</v>
      </c>
      <c r="D50" s="19">
        <v>1.9401092188687779</v>
      </c>
      <c r="E50" s="19">
        <v>1.2883661874087284</v>
      </c>
      <c r="F50" s="19">
        <v>0.47275342098329015</v>
      </c>
      <c r="G50" s="19">
        <v>0.10464207084048488</v>
      </c>
      <c r="H50" s="19">
        <v>6.3050389571236742</v>
      </c>
      <c r="I50" s="19">
        <v>3.1897270382149627</v>
      </c>
      <c r="J50" s="19">
        <v>0</v>
      </c>
      <c r="K50" s="19">
        <v>0.96548690148531358</v>
      </c>
      <c r="L50" s="19">
        <v>10</v>
      </c>
    </row>
    <row r="51" spans="2:12" ht="28.5" x14ac:dyDescent="0.35">
      <c r="B51" s="2" t="s">
        <v>59</v>
      </c>
      <c r="C51" s="3">
        <v>1</v>
      </c>
      <c r="D51" s="19">
        <f t="shared" ref="D51:L51" si="9">$C$48*D48+$C$49*D49+$C$50*D50</f>
        <v>2.9567903177314321</v>
      </c>
      <c r="E51" s="19">
        <f t="shared" si="9"/>
        <v>2.1279347148586503</v>
      </c>
      <c r="F51" s="19">
        <f t="shared" si="9"/>
        <v>5.4283693565494486</v>
      </c>
      <c r="G51" s="19">
        <f t="shared" si="9"/>
        <v>4.5513983664768833</v>
      </c>
      <c r="H51" s="19">
        <f t="shared" si="9"/>
        <v>6.5579849973880515</v>
      </c>
      <c r="I51" s="19">
        <f t="shared" si="9"/>
        <v>6.2901725652400344</v>
      </c>
      <c r="J51" s="19">
        <f t="shared" si="9"/>
        <v>2.7923904692502592</v>
      </c>
      <c r="K51" s="19">
        <f t="shared" si="9"/>
        <v>4.5766138521349422</v>
      </c>
      <c r="L51" s="19">
        <f t="shared" si="9"/>
        <v>8.1493230270789176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Multicriterio Análisis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BRANDON JOEL NUNEZ QUISHPE</dc:creator>
  <cp:keywords/>
  <dc:description/>
  <cp:lastModifiedBy>Gonzalo Chiriboga Gavidia</cp:lastModifiedBy>
  <cp:revision/>
  <dcterms:created xsi:type="dcterms:W3CDTF">2024-05-20T22:26:39Z</dcterms:created>
  <dcterms:modified xsi:type="dcterms:W3CDTF">2026-02-27T15:47:16Z</dcterms:modified>
  <cp:category/>
  <cp:contentStatus/>
</cp:coreProperties>
</file>